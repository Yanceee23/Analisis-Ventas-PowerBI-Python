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</sheets>
  <definedNames>
    <definedName function="false" hidden="true" localSheetId="0" name="_xlnm._FilterDatabase" vbProcedure="false">Ventas!$A$1:$K$108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<sst xmlns="http://schemas.openxmlformats.org/spreadsheetml/2006/main" count="439" uniqueCount="27">
  <si>
    <t xml:space="preserve">Fecha</t>
  </si>
  <si>
    <t xml:space="preserve">Producto</t>
  </si>
  <si>
    <t xml:space="preserve">Categoria</t>
  </si>
  <si>
    <t xml:space="preserve">Region</t>
  </si>
  <si>
    <t xml:space="preserve">Vendedor</t>
  </si>
  <si>
    <t xml:space="preserve">Unidades</t>
  </si>
  <si>
    <t xml:space="preserve">Precio_Unitario</t>
  </si>
  <si>
    <t xml:space="preserve">Descuento_%</t>
  </si>
  <si>
    <t xml:space="preserve">Ventas</t>
  </si>
  <si>
    <t xml:space="preserve">Ganancia_$</t>
  </si>
  <si>
    <t xml:space="preserve">Ganancia_%</t>
  </si>
  <si>
    <t xml:space="preserve">Laptop Pro</t>
  </si>
  <si>
    <t xml:space="preserve">Tecnología</t>
  </si>
  <si>
    <t xml:space="preserve">Norte</t>
  </si>
  <si>
    <t xml:space="preserve">Ana García</t>
  </si>
  <si>
    <t xml:space="preserve">Mouse Inalámbrico</t>
  </si>
  <si>
    <t xml:space="preserve">Accesorios</t>
  </si>
  <si>
    <t xml:space="preserve">Sur</t>
  </si>
  <si>
    <t xml:space="preserve">Carlos López</t>
  </si>
  <si>
    <t xml:space="preserve">Este</t>
  </si>
  <si>
    <t xml:space="preserve">María Pérez</t>
  </si>
  <si>
    <t xml:space="preserve">Teclado Mecánico</t>
  </si>
  <si>
    <t xml:space="preserve">Monitor 27"</t>
  </si>
  <si>
    <t xml:space="preserve">Oeste</t>
  </si>
  <si>
    <t xml:space="preserve">Luis Torres</t>
  </si>
  <si>
    <t xml:space="preserve">Laptop Basic</t>
  </si>
  <si>
    <t xml:space="preserve">Auriculares BT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</si>
</sst>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.00"/>
    <numFmt numFmtId="167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DCFCE7"/>
      </patternFill>
    </fill>
    <fill>
      <patternFill patternType="solid">
        <fgColor rgb="FFDCFCE7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563EB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1" min="10" style="1" width="14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n">
        <v>45296</v>
      </c>
      <c r="B2" s="4" t="s">
        <v>11</v>
      </c>
      <c r="C2" s="5" t="s">
        <v>12</v>
      </c>
      <c r="D2" s="5" t="s">
        <v>13</v>
      </c>
      <c r="E2" s="4" t="s">
        <v>14</v>
      </c>
      <c r="F2" s="5" t="n">
        <v>3</v>
      </c>
      <c r="G2" s="6" t="n">
        <v>1200</v>
      </c>
      <c r="H2" s="7" t="n">
        <v>0.05</v>
      </c>
      <c r="I2" s="6" t="n">
        <f aca="false">F2*G2</f>
        <v>3600</v>
      </c>
      <c r="J2" s="6" t="n">
        <f aca="false">I2*H2</f>
        <v>180</v>
      </c>
      <c r="K2" s="7" t="n">
        <f aca="false">IF(H2=0,0,H2)</f>
        <v>0.05</v>
      </c>
    </row>
    <row r="3" customFormat="false" ht="15" hidden="false" customHeight="true" outlineLevel="0" collapsed="false">
      <c r="A3" s="8" t="n">
        <v>45299</v>
      </c>
      <c r="B3" s="9" t="s">
        <v>15</v>
      </c>
      <c r="C3" s="10" t="s">
        <v>16</v>
      </c>
      <c r="D3" s="10" t="s">
        <v>17</v>
      </c>
      <c r="E3" s="9" t="s">
        <v>18</v>
      </c>
      <c r="F3" s="10" t="n">
        <v>15</v>
      </c>
      <c r="G3" s="11" t="n">
        <v>25</v>
      </c>
      <c r="H3" s="12" t="n">
        <v>0</v>
      </c>
      <c r="I3" s="11" t="n">
        <f aca="false">F3*G3</f>
        <v>375</v>
      </c>
      <c r="J3" s="11" t="n">
        <f aca="false">I3*H3</f>
        <v>0</v>
      </c>
      <c r="K3" s="12" t="n">
        <f aca="false">IF(H3=0,0,H3)</f>
        <v>0</v>
      </c>
    </row>
    <row r="4" customFormat="false" ht="15" hidden="false" customHeight="true" outlineLevel="0" collapsed="false">
      <c r="A4" s="3" t="n">
        <v>45301</v>
      </c>
      <c r="B4" s="4" t="s">
        <v>11</v>
      </c>
      <c r="C4" s="5" t="s">
        <v>12</v>
      </c>
      <c r="D4" s="5" t="s">
        <v>19</v>
      </c>
      <c r="E4" s="4" t="s">
        <v>20</v>
      </c>
      <c r="F4" s="5" t="n">
        <v>2</v>
      </c>
      <c r="G4" s="6" t="n">
        <v>1200</v>
      </c>
      <c r="H4" s="7" t="n">
        <v>0.1</v>
      </c>
      <c r="I4" s="6" t="n">
        <f aca="false">F4*G4</f>
        <v>2400</v>
      </c>
      <c r="J4" s="6" t="n">
        <f aca="false">I4*H4</f>
        <v>240</v>
      </c>
      <c r="K4" s="7" t="n">
        <f aca="false">IF(H4=0,0,H4)</f>
        <v>0.1</v>
      </c>
    </row>
    <row r="5" customFormat="false" ht="15" hidden="false" customHeight="true" outlineLevel="0" collapsed="false">
      <c r="A5" s="8" t="n">
        <v>45303</v>
      </c>
      <c r="B5" s="9" t="s">
        <v>21</v>
      </c>
      <c r="C5" s="10" t="s">
        <v>16</v>
      </c>
      <c r="D5" s="10" t="s">
        <v>13</v>
      </c>
      <c r="E5" s="9" t="s">
        <v>14</v>
      </c>
      <c r="F5" s="10" t="n">
        <v>8</v>
      </c>
      <c r="G5" s="11" t="n">
        <v>85</v>
      </c>
      <c r="H5" s="12" t="n">
        <v>0.05</v>
      </c>
      <c r="I5" s="11" t="n">
        <f aca="false">F5*G5</f>
        <v>680</v>
      </c>
      <c r="J5" s="11" t="n">
        <f aca="false">I5*H5</f>
        <v>34</v>
      </c>
      <c r="K5" s="12" t="n">
        <f aca="false">IF(H5=0,0,H5)</f>
        <v>0.05</v>
      </c>
    </row>
    <row r="6" customFormat="false" ht="15" hidden="false" customHeight="true" outlineLevel="0" collapsed="false">
      <c r="A6" s="3" t="n">
        <v>45306</v>
      </c>
      <c r="B6" s="4" t="s">
        <v>22</v>
      </c>
      <c r="C6" s="5" t="s">
        <v>12</v>
      </c>
      <c r="D6" s="5" t="s">
        <v>23</v>
      </c>
      <c r="E6" s="4" t="s">
        <v>24</v>
      </c>
      <c r="F6" s="5" t="n">
        <v>5</v>
      </c>
      <c r="G6" s="6" t="n">
        <v>350</v>
      </c>
      <c r="H6" s="7" t="n">
        <v>0.08</v>
      </c>
      <c r="I6" s="6" t="n">
        <f aca="false">F6*G6</f>
        <v>1750</v>
      </c>
      <c r="J6" s="6" t="n">
        <f aca="false">I6*H6</f>
        <v>140</v>
      </c>
      <c r="K6" s="7" t="n">
        <f aca="false">IF(H6=0,0,H6)</f>
        <v>0.08</v>
      </c>
    </row>
    <row r="7" customFormat="false" ht="15" hidden="false" customHeight="true" outlineLevel="0" collapsed="false">
      <c r="A7" s="3" t="n">
        <v>45309</v>
      </c>
      <c r="B7" s="4" t="s">
        <v>25</v>
      </c>
      <c r="C7" s="5" t="s">
        <v>12</v>
      </c>
      <c r="D7" s="5" t="s">
        <v>17</v>
      </c>
      <c r="E7" s="4" t="s">
        <v>18</v>
      </c>
      <c r="F7" s="5" t="n">
        <v>4</v>
      </c>
      <c r="G7" s="6" t="n">
        <v>750</v>
      </c>
      <c r="H7" s="7" t="n">
        <v>0</v>
      </c>
      <c r="I7" s="6" t="n">
        <f aca="false">F7*G7</f>
        <v>3000</v>
      </c>
      <c r="J7" s="6" t="n">
        <f aca="false">I7*H7</f>
        <v>0</v>
      </c>
      <c r="K7" s="7" t="n">
        <f aca="false">IF(H7=0,0,H7)</f>
        <v>0</v>
      </c>
    </row>
    <row r="8" customFormat="false" ht="15" hidden="false" customHeight="true" outlineLevel="0" collapsed="false">
      <c r="A8" s="8" t="n">
        <v>45311</v>
      </c>
      <c r="B8" s="9" t="s">
        <v>26</v>
      </c>
      <c r="C8" s="10" t="s">
        <v>16</v>
      </c>
      <c r="D8" s="10" t="s">
        <v>13</v>
      </c>
      <c r="E8" s="9" t="s">
        <v>14</v>
      </c>
      <c r="F8" s="10" t="n">
        <v>12</v>
      </c>
      <c r="G8" s="11" t="n">
        <v>60</v>
      </c>
      <c r="H8" s="12" t="n">
        <v>0.1</v>
      </c>
      <c r="I8" s="11" t="n">
        <f aca="false">F8*G8</f>
        <v>720</v>
      </c>
      <c r="J8" s="11" t="n">
        <f aca="false">I8*H8</f>
        <v>72</v>
      </c>
      <c r="K8" s="12" t="n">
        <f aca="false">IF(H8=0,0,H8)</f>
        <v>0.1</v>
      </c>
    </row>
    <row r="9" customFormat="false" ht="15" hidden="false" customHeight="true" outlineLevel="0" collapsed="false">
      <c r="A9" s="3" t="n">
        <v>45313</v>
      </c>
      <c r="B9" s="4" t="s">
        <v>22</v>
      </c>
      <c r="C9" s="5" t="s">
        <v>12</v>
      </c>
      <c r="D9" s="5" t="s">
        <v>19</v>
      </c>
      <c r="E9" s="4" t="s">
        <v>20</v>
      </c>
      <c r="F9" s="5" t="n">
        <v>3</v>
      </c>
      <c r="G9" s="6" t="n">
        <v>350</v>
      </c>
      <c r="H9" s="7" t="n">
        <v>0.05</v>
      </c>
      <c r="I9" s="6" t="n">
        <f aca="false">F9*G9</f>
        <v>1050</v>
      </c>
      <c r="J9" s="6" t="n">
        <f aca="false">I9*H9</f>
        <v>52.5</v>
      </c>
      <c r="K9" s="7" t="n">
        <f aca="false">IF(H9=0,0,H9)</f>
        <v>0.05</v>
      </c>
    </row>
    <row r="10" customFormat="false" ht="15" hidden="false" customHeight="true" outlineLevel="0" collapsed="false">
      <c r="A10" s="8" t="n">
        <v>45316</v>
      </c>
      <c r="B10" s="9" t="s">
        <v>15</v>
      </c>
      <c r="C10" s="10" t="s">
        <v>16</v>
      </c>
      <c r="D10" s="10" t="s">
        <v>23</v>
      </c>
      <c r="E10" s="9" t="s">
        <v>24</v>
      </c>
      <c r="F10" s="10" t="n">
        <v>20</v>
      </c>
      <c r="G10" s="11" t="n">
        <v>25</v>
      </c>
      <c r="H10" s="12" t="n">
        <v>0</v>
      </c>
      <c r="I10" s="11" t="n">
        <f aca="false">F10*G10</f>
        <v>500</v>
      </c>
      <c r="J10" s="11" t="n">
        <f aca="false">I10*H10</f>
        <v>0</v>
      </c>
      <c r="K10" s="12" t="n">
        <f aca="false">IF(H10=0,0,H10)</f>
        <v>0</v>
      </c>
    </row>
    <row r="11" customFormat="false" ht="15" hidden="false" customHeight="true" outlineLevel="0" collapsed="false">
      <c r="A11" s="8" t="n">
        <v>45319</v>
      </c>
      <c r="B11" s="9" t="s">
        <v>21</v>
      </c>
      <c r="C11" s="10" t="s">
        <v>16</v>
      </c>
      <c r="D11" s="10" t="s">
        <v>17</v>
      </c>
      <c r="E11" s="9" t="s">
        <v>18</v>
      </c>
      <c r="F11" s="10" t="n">
        <v>6</v>
      </c>
      <c r="G11" s="11" t="n">
        <v>85</v>
      </c>
      <c r="H11" s="12" t="n">
        <v>0</v>
      </c>
      <c r="I11" s="11" t="n">
        <f aca="false">F11*G11</f>
        <v>510</v>
      </c>
      <c r="J11" s="11" t="n">
        <f aca="false">I11*H11</f>
        <v>0</v>
      </c>
      <c r="K11" s="12" t="n">
        <f aca="false">IF(H11=0,0,H11)</f>
        <v>0</v>
      </c>
    </row>
    <row r="12" customFormat="false" ht="15" hidden="false" customHeight="true" outlineLevel="0" collapsed="false">
      <c r="A12" s="3" t="n">
        <v>45324</v>
      </c>
      <c r="B12" s="4" t="s">
        <v>11</v>
      </c>
      <c r="C12" s="5" t="s">
        <v>12</v>
      </c>
      <c r="D12" s="5" t="s">
        <v>13</v>
      </c>
      <c r="E12" s="4" t="s">
        <v>14</v>
      </c>
      <c r="F12" s="5" t="n">
        <v>5</v>
      </c>
      <c r="G12" s="6" t="n">
        <v>1200</v>
      </c>
      <c r="H12" s="7" t="n">
        <v>0.07</v>
      </c>
      <c r="I12" s="6" t="n">
        <f aca="false">F12*G12</f>
        <v>6000</v>
      </c>
      <c r="J12" s="6" t="n">
        <f aca="false">I12*H12</f>
        <v>420</v>
      </c>
      <c r="K12" s="7" t="n">
        <f aca="false">IF(H12=0,0,H12)</f>
        <v>0.07</v>
      </c>
    </row>
    <row r="13" customFormat="false" ht="15" hidden="false" customHeight="true" outlineLevel="0" collapsed="false">
      <c r="A13" s="3" t="n">
        <v>45327</v>
      </c>
      <c r="B13" s="4" t="s">
        <v>22</v>
      </c>
      <c r="C13" s="5" t="s">
        <v>12</v>
      </c>
      <c r="D13" s="5" t="s">
        <v>17</v>
      </c>
      <c r="E13" s="4" t="s">
        <v>18</v>
      </c>
      <c r="F13" s="5" t="n">
        <v>4</v>
      </c>
      <c r="G13" s="6" t="n">
        <v>350</v>
      </c>
      <c r="H13" s="7" t="n">
        <v>0.1</v>
      </c>
      <c r="I13" s="6" t="n">
        <f aca="false">F13*G13</f>
        <v>1400</v>
      </c>
      <c r="J13" s="6" t="n">
        <f aca="false">I13*H13</f>
        <v>140</v>
      </c>
      <c r="K13" s="7" t="n">
        <f aca="false">IF(H13=0,0,H13)</f>
        <v>0.1</v>
      </c>
    </row>
    <row r="14" customFormat="false" ht="15" hidden="false" customHeight="true" outlineLevel="0" collapsed="false">
      <c r="A14" s="8" t="n">
        <v>45330</v>
      </c>
      <c r="B14" s="9" t="s">
        <v>26</v>
      </c>
      <c r="C14" s="10" t="s">
        <v>16</v>
      </c>
      <c r="D14" s="10" t="s">
        <v>19</v>
      </c>
      <c r="E14" s="9" t="s">
        <v>20</v>
      </c>
      <c r="F14" s="10" t="n">
        <v>18</v>
      </c>
      <c r="G14" s="11" t="n">
        <v>60</v>
      </c>
      <c r="H14" s="12" t="n">
        <v>0.05</v>
      </c>
      <c r="I14" s="11" t="n">
        <f aca="false">F14*G14</f>
        <v>1080</v>
      </c>
      <c r="J14" s="11" t="n">
        <f aca="false">I14*H14</f>
        <v>54</v>
      </c>
      <c r="K14" s="12" t="n">
        <f aca="false">IF(H14=0,0,H14)</f>
        <v>0.05</v>
      </c>
    </row>
    <row r="15" customFormat="false" ht="15" hidden="false" customHeight="true" outlineLevel="0" collapsed="false">
      <c r="A15" s="3" t="n">
        <v>45332</v>
      </c>
      <c r="B15" s="4" t="s">
        <v>25</v>
      </c>
      <c r="C15" s="5" t="s">
        <v>12</v>
      </c>
      <c r="D15" s="5" t="s">
        <v>13</v>
      </c>
      <c r="E15" s="4" t="s">
        <v>14</v>
      </c>
      <c r="F15" s="5" t="n">
        <v>6</v>
      </c>
      <c r="G15" s="6" t="n">
        <v>750</v>
      </c>
      <c r="H15" s="7" t="n">
        <v>0</v>
      </c>
      <c r="I15" s="6" t="n">
        <f aca="false">F15*G15</f>
        <v>4500</v>
      </c>
      <c r="J15" s="6" t="n">
        <f aca="false">I15*H15</f>
        <v>0</v>
      </c>
      <c r="K15" s="7" t="n">
        <f aca="false">IF(H15=0,0,H15)</f>
        <v>0</v>
      </c>
    </row>
    <row r="16" customFormat="false" ht="15" hidden="false" customHeight="true" outlineLevel="0" collapsed="false">
      <c r="A16" s="8" t="n">
        <v>45336</v>
      </c>
      <c r="B16" s="9" t="s">
        <v>15</v>
      </c>
      <c r="C16" s="10" t="s">
        <v>16</v>
      </c>
      <c r="D16" s="10" t="s">
        <v>23</v>
      </c>
      <c r="E16" s="9" t="s">
        <v>24</v>
      </c>
      <c r="F16" s="10" t="n">
        <v>25</v>
      </c>
      <c r="G16" s="11" t="n">
        <v>25</v>
      </c>
      <c r="H16" s="12" t="n">
        <v>0.05</v>
      </c>
      <c r="I16" s="11" t="n">
        <f aca="false">F16*G16</f>
        <v>625</v>
      </c>
      <c r="J16" s="11" t="n">
        <f aca="false">I16*H16</f>
        <v>31.25</v>
      </c>
      <c r="K16" s="12" t="n">
        <f aca="false">IF(H16=0,0,H16)</f>
        <v>0.05</v>
      </c>
    </row>
    <row r="17" customFormat="false" ht="15" hidden="false" customHeight="true" outlineLevel="0" collapsed="false">
      <c r="A17" s="8" t="n">
        <v>45340</v>
      </c>
      <c r="B17" s="9" t="s">
        <v>21</v>
      </c>
      <c r="C17" s="10" t="s">
        <v>16</v>
      </c>
      <c r="D17" s="10" t="s">
        <v>17</v>
      </c>
      <c r="E17" s="9" t="s">
        <v>18</v>
      </c>
      <c r="F17" s="10" t="n">
        <v>10</v>
      </c>
      <c r="G17" s="11" t="n">
        <v>85</v>
      </c>
      <c r="H17" s="12" t="n">
        <v>0.08</v>
      </c>
      <c r="I17" s="11" t="n">
        <f aca="false">F17*G17</f>
        <v>850</v>
      </c>
      <c r="J17" s="11" t="n">
        <f aca="false">I17*H17</f>
        <v>68</v>
      </c>
      <c r="K17" s="12" t="n">
        <f aca="false">IF(H17=0,0,H17)</f>
        <v>0.08</v>
      </c>
    </row>
    <row r="18" customFormat="false" ht="15" hidden="false" customHeight="true" outlineLevel="0" collapsed="false">
      <c r="A18" s="3" t="n">
        <v>45342</v>
      </c>
      <c r="B18" s="4" t="s">
        <v>11</v>
      </c>
      <c r="C18" s="5" t="s">
        <v>12</v>
      </c>
      <c r="D18" s="5" t="s">
        <v>23</v>
      </c>
      <c r="E18" s="4" t="s">
        <v>24</v>
      </c>
      <c r="F18" s="5" t="n">
        <v>3</v>
      </c>
      <c r="G18" s="6" t="n">
        <v>1200</v>
      </c>
      <c r="H18" s="7" t="n">
        <v>0</v>
      </c>
      <c r="I18" s="6" t="n">
        <f aca="false">F18*G18</f>
        <v>3600</v>
      </c>
      <c r="J18" s="6" t="n">
        <f aca="false">I18*H18</f>
        <v>0</v>
      </c>
      <c r="K18" s="7" t="n">
        <f aca="false">IF(H18=0,0,H18)</f>
        <v>0</v>
      </c>
    </row>
    <row r="19" customFormat="false" ht="15" hidden="false" customHeight="true" outlineLevel="0" collapsed="false">
      <c r="A19" s="3" t="n">
        <v>45344</v>
      </c>
      <c r="B19" s="4" t="s">
        <v>22</v>
      </c>
      <c r="C19" s="5" t="s">
        <v>12</v>
      </c>
      <c r="D19" s="5" t="s">
        <v>13</v>
      </c>
      <c r="E19" s="4" t="s">
        <v>14</v>
      </c>
      <c r="F19" s="5" t="n">
        <v>6</v>
      </c>
      <c r="G19" s="6" t="n">
        <v>350</v>
      </c>
      <c r="H19" s="7" t="n">
        <v>0.05</v>
      </c>
      <c r="I19" s="6" t="n">
        <f aca="false">F19*G19</f>
        <v>2100</v>
      </c>
      <c r="J19" s="6" t="n">
        <f aca="false">I19*H19</f>
        <v>105</v>
      </c>
      <c r="K19" s="7" t="n">
        <f aca="false">IF(H19=0,0,H19)</f>
        <v>0.05</v>
      </c>
    </row>
    <row r="20" customFormat="false" ht="15" hidden="false" customHeight="true" outlineLevel="0" collapsed="false">
      <c r="A20" s="8" t="n">
        <v>45347</v>
      </c>
      <c r="B20" s="9" t="s">
        <v>26</v>
      </c>
      <c r="C20" s="10" t="s">
        <v>16</v>
      </c>
      <c r="D20" s="10" t="s">
        <v>17</v>
      </c>
      <c r="E20" s="9" t="s">
        <v>18</v>
      </c>
      <c r="F20" s="10" t="n">
        <v>22</v>
      </c>
      <c r="G20" s="11" t="n">
        <v>60</v>
      </c>
      <c r="H20" s="12" t="n">
        <v>0.1</v>
      </c>
      <c r="I20" s="11" t="n">
        <f aca="false">F20*G20</f>
        <v>1320</v>
      </c>
      <c r="J20" s="11" t="n">
        <f aca="false">I20*H20</f>
        <v>132</v>
      </c>
      <c r="K20" s="12" t="n">
        <f aca="false">IF(H20=0,0,H20)</f>
        <v>0.1</v>
      </c>
    </row>
    <row r="21" customFormat="false" ht="15" hidden="false" customHeight="true" outlineLevel="0" collapsed="false">
      <c r="A21" s="3" t="n">
        <v>45350</v>
      </c>
      <c r="B21" s="4" t="s">
        <v>25</v>
      </c>
      <c r="C21" s="5" t="s">
        <v>12</v>
      </c>
      <c r="D21" s="5" t="s">
        <v>19</v>
      </c>
      <c r="E21" s="4" t="s">
        <v>20</v>
      </c>
      <c r="F21" s="5" t="n">
        <v>4</v>
      </c>
      <c r="G21" s="6" t="n">
        <v>750</v>
      </c>
      <c r="H21" s="7" t="n">
        <v>0.07</v>
      </c>
      <c r="I21" s="6" t="n">
        <f aca="false">F21*G21</f>
        <v>3000</v>
      </c>
      <c r="J21" s="6" t="n">
        <f aca="false">I21*H21</f>
        <v>210</v>
      </c>
      <c r="K21" s="7" t="n">
        <f aca="false">IF(H21=0,0,H21)</f>
        <v>0.07</v>
      </c>
    </row>
    <row r="22" customFormat="false" ht="15" hidden="false" customHeight="true" outlineLevel="0" collapsed="false">
      <c r="A22" s="3" t="n">
        <v>45354</v>
      </c>
      <c r="B22" s="4" t="s">
        <v>11</v>
      </c>
      <c r="C22" s="5" t="s">
        <v>12</v>
      </c>
      <c r="D22" s="5" t="s">
        <v>13</v>
      </c>
      <c r="E22" s="4" t="s">
        <v>14</v>
      </c>
      <c r="F22" s="5" t="n">
        <v>7</v>
      </c>
      <c r="G22" s="6" t="n">
        <v>1200</v>
      </c>
      <c r="H22" s="7" t="n">
        <v>0.05</v>
      </c>
      <c r="I22" s="6" t="n">
        <f aca="false">F22*G22</f>
        <v>8400</v>
      </c>
      <c r="J22" s="6" t="n">
        <f aca="false">I22*H22</f>
        <v>420</v>
      </c>
      <c r="K22" s="7" t="n">
        <f aca="false">IF(H22=0,0,H22)</f>
        <v>0.05</v>
      </c>
    </row>
    <row r="23" customFormat="false" ht="15" hidden="false" customHeight="true" outlineLevel="0" collapsed="false">
      <c r="A23" s="8" t="n">
        <v>45357</v>
      </c>
      <c r="B23" s="9" t="s">
        <v>15</v>
      </c>
      <c r="C23" s="10" t="s">
        <v>16</v>
      </c>
      <c r="D23" s="10" t="s">
        <v>17</v>
      </c>
      <c r="E23" s="9" t="s">
        <v>18</v>
      </c>
      <c r="F23" s="10" t="n">
        <v>30</v>
      </c>
      <c r="G23" s="11" t="n">
        <v>25</v>
      </c>
      <c r="H23" s="12" t="n">
        <v>0</v>
      </c>
      <c r="I23" s="11" t="n">
        <f aca="false">F23*G23</f>
        <v>750</v>
      </c>
      <c r="J23" s="11" t="n">
        <f aca="false">I23*H23</f>
        <v>0</v>
      </c>
      <c r="K23" s="12" t="n">
        <f aca="false">IF(H23=0,0,H23)</f>
        <v>0</v>
      </c>
    </row>
    <row r="24" customFormat="false" ht="15" hidden="false" customHeight="true" outlineLevel="0" collapsed="false">
      <c r="A24" s="3" t="n">
        <v>45361</v>
      </c>
      <c r="B24" s="4" t="s">
        <v>22</v>
      </c>
      <c r="C24" s="5" t="s">
        <v>12</v>
      </c>
      <c r="D24" s="5" t="s">
        <v>19</v>
      </c>
      <c r="E24" s="4" t="s">
        <v>20</v>
      </c>
      <c r="F24" s="5" t="n">
        <v>5</v>
      </c>
      <c r="G24" s="6" t="n">
        <v>350</v>
      </c>
      <c r="H24" s="7" t="n">
        <v>0.08</v>
      </c>
      <c r="I24" s="6" t="n">
        <f aca="false">F24*G24</f>
        <v>1750</v>
      </c>
      <c r="J24" s="6" t="n">
        <f aca="false">I24*H24</f>
        <v>140</v>
      </c>
      <c r="K24" s="7" t="n">
        <f aca="false">IF(H24=0,0,H24)</f>
        <v>0.08</v>
      </c>
    </row>
    <row r="25" customFormat="false" ht="15" hidden="false" customHeight="true" outlineLevel="0" collapsed="false">
      <c r="A25" s="8" t="n">
        <v>45364</v>
      </c>
      <c r="B25" s="9" t="s">
        <v>21</v>
      </c>
      <c r="C25" s="10" t="s">
        <v>16</v>
      </c>
      <c r="D25" s="10" t="s">
        <v>23</v>
      </c>
      <c r="E25" s="9" t="s">
        <v>24</v>
      </c>
      <c r="F25" s="10" t="n">
        <v>12</v>
      </c>
      <c r="G25" s="11" t="n">
        <v>85</v>
      </c>
      <c r="H25" s="12" t="n">
        <v>0.05</v>
      </c>
      <c r="I25" s="11" t="n">
        <f aca="false">F25*G25</f>
        <v>1020</v>
      </c>
      <c r="J25" s="11" t="n">
        <f aca="false">I25*H25</f>
        <v>51</v>
      </c>
      <c r="K25" s="12" t="n">
        <f aca="false">IF(H25=0,0,H25)</f>
        <v>0.05</v>
      </c>
    </row>
    <row r="26" customFormat="false" ht="15" hidden="false" customHeight="true" outlineLevel="0" collapsed="false">
      <c r="A26" s="3" t="n">
        <v>45367</v>
      </c>
      <c r="B26" s="4" t="s">
        <v>25</v>
      </c>
      <c r="C26" s="5" t="s">
        <v>12</v>
      </c>
      <c r="D26" s="5" t="s">
        <v>13</v>
      </c>
      <c r="E26" s="4" t="s">
        <v>14</v>
      </c>
      <c r="F26" s="5" t="n">
        <v>8</v>
      </c>
      <c r="G26" s="6" t="n">
        <v>750</v>
      </c>
      <c r="H26" s="7" t="n">
        <v>0</v>
      </c>
      <c r="I26" s="6" t="n">
        <f aca="false">F26*G26</f>
        <v>6000</v>
      </c>
      <c r="J26" s="6" t="n">
        <f aca="false">I26*H26</f>
        <v>0</v>
      </c>
      <c r="K26" s="7" t="n">
        <f aca="false">IF(H26=0,0,H26)</f>
        <v>0</v>
      </c>
    </row>
    <row r="27" customFormat="false" ht="15" hidden="false" customHeight="true" outlineLevel="0" collapsed="false">
      <c r="A27" s="8" t="n">
        <v>45371</v>
      </c>
      <c r="B27" s="9" t="s">
        <v>26</v>
      </c>
      <c r="C27" s="10" t="s">
        <v>16</v>
      </c>
      <c r="D27" s="10" t="s">
        <v>17</v>
      </c>
      <c r="E27" s="9" t="s">
        <v>18</v>
      </c>
      <c r="F27" s="10" t="n">
        <v>28</v>
      </c>
      <c r="G27" s="11" t="n">
        <v>60</v>
      </c>
      <c r="H27" s="12" t="n">
        <v>0.1</v>
      </c>
      <c r="I27" s="11" t="n">
        <f aca="false">F27*G27</f>
        <v>1680</v>
      </c>
      <c r="J27" s="11" t="n">
        <f aca="false">I27*H27</f>
        <v>168</v>
      </c>
      <c r="K27" s="12" t="n">
        <f aca="false">IF(H27=0,0,H27)</f>
        <v>0.1</v>
      </c>
    </row>
    <row r="28" customFormat="false" ht="15" hidden="false" customHeight="true" outlineLevel="0" collapsed="false">
      <c r="A28" s="3" t="n">
        <v>45373</v>
      </c>
      <c r="B28" s="4" t="s">
        <v>11</v>
      </c>
      <c r="C28" s="5" t="s">
        <v>12</v>
      </c>
      <c r="D28" s="5" t="s">
        <v>23</v>
      </c>
      <c r="E28" s="4" t="s">
        <v>24</v>
      </c>
      <c r="F28" s="5" t="n">
        <v>4</v>
      </c>
      <c r="G28" s="6" t="n">
        <v>1200</v>
      </c>
      <c r="H28" s="7" t="n">
        <v>0.05</v>
      </c>
      <c r="I28" s="6" t="n">
        <f aca="false">F28*G28</f>
        <v>4800</v>
      </c>
      <c r="J28" s="6" t="n">
        <f aca="false">I28*H28</f>
        <v>240</v>
      </c>
      <c r="K28" s="7" t="n">
        <f aca="false">IF(H28=0,0,H28)</f>
        <v>0.05</v>
      </c>
    </row>
    <row r="29" customFormat="false" ht="15" hidden="false" customHeight="true" outlineLevel="0" collapsed="false">
      <c r="A29" s="3" t="n">
        <v>45377</v>
      </c>
      <c r="B29" s="4" t="s">
        <v>22</v>
      </c>
      <c r="C29" s="5" t="s">
        <v>12</v>
      </c>
      <c r="D29" s="5" t="s">
        <v>13</v>
      </c>
      <c r="E29" s="4" t="s">
        <v>14</v>
      </c>
      <c r="F29" s="5" t="n">
        <v>7</v>
      </c>
      <c r="G29" s="6" t="n">
        <v>350</v>
      </c>
      <c r="H29" s="7" t="n">
        <v>0</v>
      </c>
      <c r="I29" s="6" t="n">
        <f aca="false">F29*G29</f>
        <v>2450</v>
      </c>
      <c r="J29" s="6" t="n">
        <f aca="false">I29*H29</f>
        <v>0</v>
      </c>
      <c r="K29" s="7" t="n">
        <f aca="false">IF(H29=0,0,H29)</f>
        <v>0</v>
      </c>
    </row>
    <row r="30" customFormat="false" ht="15" hidden="false" customHeight="true" outlineLevel="0" collapsed="false">
      <c r="A30" s="8" t="n">
        <v>45380</v>
      </c>
      <c r="B30" s="9" t="s">
        <v>15</v>
      </c>
      <c r="C30" s="10" t="s">
        <v>16</v>
      </c>
      <c r="D30" s="10" t="s">
        <v>19</v>
      </c>
      <c r="E30" s="9" t="s">
        <v>20</v>
      </c>
      <c r="F30" s="10" t="n">
        <v>35</v>
      </c>
      <c r="G30" s="11" t="n">
        <v>25</v>
      </c>
      <c r="H30" s="12" t="n">
        <v>0.08</v>
      </c>
      <c r="I30" s="11" t="n">
        <f aca="false">F30*G30</f>
        <v>875</v>
      </c>
      <c r="J30" s="11" t="n">
        <f aca="false">I30*H30</f>
        <v>70</v>
      </c>
      <c r="K30" s="12" t="n">
        <f aca="false">IF(H30=0,0,H30)</f>
        <v>0.08</v>
      </c>
    </row>
    <row r="31" customFormat="false" ht="15" hidden="false" customHeight="true" outlineLevel="0" collapsed="false">
      <c r="A31" s="8" t="n">
        <v>45384</v>
      </c>
      <c r="B31" s="9" t="s">
        <v>21</v>
      </c>
      <c r="C31" s="10" t="s">
        <v>16</v>
      </c>
      <c r="D31" s="10" t="s">
        <v>17</v>
      </c>
      <c r="E31" s="9" t="s">
        <v>18</v>
      </c>
      <c r="F31" s="10" t="n">
        <v>14</v>
      </c>
      <c r="G31" s="11" t="n">
        <v>85</v>
      </c>
      <c r="H31" s="12" t="n">
        <v>0.05</v>
      </c>
      <c r="I31" s="11" t="n">
        <f aca="false">F31*G31</f>
        <v>1190</v>
      </c>
      <c r="J31" s="11" t="n">
        <f aca="false">I31*H31</f>
        <v>59.5</v>
      </c>
      <c r="K31" s="12" t="n">
        <f aca="false">IF(H31=0,0,H31)</f>
        <v>0.05</v>
      </c>
    </row>
    <row r="32" customFormat="false" ht="15" hidden="false" customHeight="true" outlineLevel="0" collapsed="false">
      <c r="A32" s="3" t="n">
        <v>45387</v>
      </c>
      <c r="B32" s="4" t="s">
        <v>11</v>
      </c>
      <c r="C32" s="5" t="s">
        <v>12</v>
      </c>
      <c r="D32" s="5" t="s">
        <v>13</v>
      </c>
      <c r="E32" s="4" t="s">
        <v>14</v>
      </c>
      <c r="F32" s="5" t="n">
        <v>6</v>
      </c>
      <c r="G32" s="6" t="n">
        <v>1200</v>
      </c>
      <c r="H32" s="7" t="n">
        <v>0.1</v>
      </c>
      <c r="I32" s="6" t="n">
        <f aca="false">F32*G32</f>
        <v>7200</v>
      </c>
      <c r="J32" s="6" t="n">
        <f aca="false">I32*H32</f>
        <v>720</v>
      </c>
      <c r="K32" s="7" t="n">
        <f aca="false">IF(H32=0,0,H32)</f>
        <v>0.1</v>
      </c>
    </row>
    <row r="33" customFormat="false" ht="15" hidden="false" customHeight="true" outlineLevel="0" collapsed="false">
      <c r="A33" s="8" t="n">
        <v>45390</v>
      </c>
      <c r="B33" s="9" t="s">
        <v>26</v>
      </c>
      <c r="C33" s="10" t="s">
        <v>16</v>
      </c>
      <c r="D33" s="10" t="s">
        <v>23</v>
      </c>
      <c r="E33" s="9" t="s">
        <v>24</v>
      </c>
      <c r="F33" s="10" t="n">
        <v>20</v>
      </c>
      <c r="G33" s="11" t="n">
        <v>60</v>
      </c>
      <c r="H33" s="12" t="n">
        <v>0.05</v>
      </c>
      <c r="I33" s="11" t="n">
        <f aca="false">F33*G33</f>
        <v>1200</v>
      </c>
      <c r="J33" s="11" t="n">
        <f aca="false">I33*H33</f>
        <v>60</v>
      </c>
      <c r="K33" s="12" t="n">
        <f aca="false">IF(H33=0,0,H33)</f>
        <v>0.05</v>
      </c>
    </row>
    <row r="34" customFormat="false" ht="15" hidden="false" customHeight="true" outlineLevel="0" collapsed="false">
      <c r="A34" s="3" t="n">
        <v>45394</v>
      </c>
      <c r="B34" s="4" t="s">
        <v>25</v>
      </c>
      <c r="C34" s="5" t="s">
        <v>12</v>
      </c>
      <c r="D34" s="5" t="s">
        <v>19</v>
      </c>
      <c r="E34" s="4" t="s">
        <v>20</v>
      </c>
      <c r="F34" s="5" t="n">
        <v>9</v>
      </c>
      <c r="G34" s="6" t="n">
        <v>750</v>
      </c>
      <c r="H34" s="7" t="n">
        <v>0.07</v>
      </c>
      <c r="I34" s="6" t="n">
        <f aca="false">F34*G34</f>
        <v>6750</v>
      </c>
      <c r="J34" s="6" t="n">
        <f aca="false">I34*H34</f>
        <v>472.5</v>
      </c>
      <c r="K34" s="7" t="n">
        <f aca="false">IF(H34=0,0,H34)</f>
        <v>0.07</v>
      </c>
    </row>
    <row r="35" customFormat="false" ht="15" hidden="false" customHeight="true" outlineLevel="0" collapsed="false">
      <c r="A35" s="3" t="n">
        <v>45397</v>
      </c>
      <c r="B35" s="4" t="s">
        <v>22</v>
      </c>
      <c r="C35" s="5" t="s">
        <v>12</v>
      </c>
      <c r="D35" s="5" t="s">
        <v>17</v>
      </c>
      <c r="E35" s="4" t="s">
        <v>18</v>
      </c>
      <c r="F35" s="5" t="n">
        <v>8</v>
      </c>
      <c r="G35" s="6" t="n">
        <v>350</v>
      </c>
      <c r="H35" s="7" t="n">
        <v>0</v>
      </c>
      <c r="I35" s="6" t="n">
        <f aca="false">F35*G35</f>
        <v>2800</v>
      </c>
      <c r="J35" s="6" t="n">
        <f aca="false">I35*H35</f>
        <v>0</v>
      </c>
      <c r="K35" s="7" t="n">
        <f aca="false">IF(H35=0,0,H35)</f>
        <v>0</v>
      </c>
    </row>
    <row r="36" customFormat="false" ht="15" hidden="false" customHeight="true" outlineLevel="0" collapsed="false">
      <c r="A36" s="8" t="n">
        <v>45400</v>
      </c>
      <c r="B36" s="9" t="s">
        <v>15</v>
      </c>
      <c r="C36" s="10" t="s">
        <v>16</v>
      </c>
      <c r="D36" s="10" t="s">
        <v>13</v>
      </c>
      <c r="E36" s="9" t="s">
        <v>14</v>
      </c>
      <c r="F36" s="10" t="n">
        <v>40</v>
      </c>
      <c r="G36" s="11" t="n">
        <v>25</v>
      </c>
      <c r="H36" s="12" t="n">
        <v>0.05</v>
      </c>
      <c r="I36" s="11" t="n">
        <f aca="false">F36*G36</f>
        <v>1000</v>
      </c>
      <c r="J36" s="11" t="n">
        <f aca="false">I36*H36</f>
        <v>50</v>
      </c>
      <c r="K36" s="12" t="n">
        <f aca="false">IF(H36=0,0,H36)</f>
        <v>0.05</v>
      </c>
    </row>
    <row r="37" customFormat="false" ht="15" hidden="false" customHeight="true" outlineLevel="0" collapsed="false">
      <c r="A37" s="3" t="n">
        <v>45404</v>
      </c>
      <c r="B37" s="4" t="s">
        <v>11</v>
      </c>
      <c r="C37" s="5" t="s">
        <v>12</v>
      </c>
      <c r="D37" s="5" t="s">
        <v>23</v>
      </c>
      <c r="E37" s="4" t="s">
        <v>24</v>
      </c>
      <c r="F37" s="5" t="n">
        <v>5</v>
      </c>
      <c r="G37" s="6" t="n">
        <v>1200</v>
      </c>
      <c r="H37" s="7" t="n">
        <v>0.08</v>
      </c>
      <c r="I37" s="6" t="n">
        <f aca="false">F37*G37</f>
        <v>6000</v>
      </c>
      <c r="J37" s="6" t="n">
        <f aca="false">I37*H37</f>
        <v>480</v>
      </c>
      <c r="K37" s="7" t="n">
        <f aca="false">IF(H37=0,0,H37)</f>
        <v>0.08</v>
      </c>
    </row>
    <row r="38" customFormat="false" ht="15" hidden="false" customHeight="true" outlineLevel="0" collapsed="false">
      <c r="A38" s="8" t="n">
        <v>45407</v>
      </c>
      <c r="B38" s="9" t="s">
        <v>21</v>
      </c>
      <c r="C38" s="10" t="s">
        <v>16</v>
      </c>
      <c r="D38" s="10" t="s">
        <v>19</v>
      </c>
      <c r="E38" s="9" t="s">
        <v>20</v>
      </c>
      <c r="F38" s="10" t="n">
        <v>16</v>
      </c>
      <c r="G38" s="11" t="n">
        <v>85</v>
      </c>
      <c r="H38" s="12" t="n">
        <v>0.1</v>
      </c>
      <c r="I38" s="11" t="n">
        <f aca="false">F38*G38</f>
        <v>1360</v>
      </c>
      <c r="J38" s="11" t="n">
        <f aca="false">I38*H38</f>
        <v>136</v>
      </c>
      <c r="K38" s="12" t="n">
        <f aca="false">IF(H38=0,0,H38)</f>
        <v>0.1</v>
      </c>
    </row>
    <row r="39" customFormat="false" ht="15" hidden="false" customHeight="true" outlineLevel="0" collapsed="false">
      <c r="A39" s="8" t="n">
        <v>45410</v>
      </c>
      <c r="B39" s="9" t="s">
        <v>26</v>
      </c>
      <c r="C39" s="10" t="s">
        <v>16</v>
      </c>
      <c r="D39" s="10" t="s">
        <v>13</v>
      </c>
      <c r="E39" s="9" t="s">
        <v>14</v>
      </c>
      <c r="F39" s="10" t="n">
        <v>25</v>
      </c>
      <c r="G39" s="11" t="n">
        <v>60</v>
      </c>
      <c r="H39" s="12" t="n">
        <v>0</v>
      </c>
      <c r="I39" s="11" t="n">
        <f aca="false">F39*G39</f>
        <v>1500</v>
      </c>
      <c r="J39" s="11" t="n">
        <f aca="false">I39*H39</f>
        <v>0</v>
      </c>
      <c r="K39" s="12" t="n">
        <f aca="false">IF(H39=0,0,H39)</f>
        <v>0</v>
      </c>
    </row>
    <row r="40" customFormat="false" ht="15" hidden="false" customHeight="true" outlineLevel="0" collapsed="false">
      <c r="A40" s="3" t="n">
        <v>45414</v>
      </c>
      <c r="B40" s="4" t="s">
        <v>25</v>
      </c>
      <c r="C40" s="5" t="s">
        <v>12</v>
      </c>
      <c r="D40" s="5" t="s">
        <v>17</v>
      </c>
      <c r="E40" s="4" t="s">
        <v>18</v>
      </c>
      <c r="F40" s="5" t="n">
        <v>10</v>
      </c>
      <c r="G40" s="6" t="n">
        <v>750</v>
      </c>
      <c r="H40" s="7" t="n">
        <v>0.05</v>
      </c>
      <c r="I40" s="6" t="n">
        <f aca="false">F40*G40</f>
        <v>7500</v>
      </c>
      <c r="J40" s="6" t="n">
        <f aca="false">I40*H40</f>
        <v>375</v>
      </c>
      <c r="K40" s="7" t="n">
        <f aca="false">IF(H40=0,0,H40)</f>
        <v>0.05</v>
      </c>
    </row>
    <row r="41" customFormat="false" ht="15" hidden="false" customHeight="true" outlineLevel="0" collapsed="false">
      <c r="A41" s="3" t="n">
        <v>45418</v>
      </c>
      <c r="B41" s="4" t="s">
        <v>22</v>
      </c>
      <c r="C41" s="5" t="s">
        <v>12</v>
      </c>
      <c r="D41" s="5" t="s">
        <v>23</v>
      </c>
      <c r="E41" s="4" t="s">
        <v>24</v>
      </c>
      <c r="F41" s="5" t="n">
        <v>9</v>
      </c>
      <c r="G41" s="6" t="n">
        <v>350</v>
      </c>
      <c r="H41" s="7" t="n">
        <v>0.08</v>
      </c>
      <c r="I41" s="6" t="n">
        <f aca="false">F41*G41</f>
        <v>3150</v>
      </c>
      <c r="J41" s="6" t="n">
        <f aca="false">I41*H41</f>
        <v>252</v>
      </c>
      <c r="K41" s="7" t="n">
        <f aca="false">IF(H41=0,0,H41)</f>
        <v>0.08</v>
      </c>
    </row>
    <row r="42" customFormat="false" ht="15" hidden="false" customHeight="true" outlineLevel="0" collapsed="false">
      <c r="A42" s="3" t="n">
        <v>45421</v>
      </c>
      <c r="B42" s="4" t="s">
        <v>11</v>
      </c>
      <c r="C42" s="5" t="s">
        <v>12</v>
      </c>
      <c r="D42" s="5" t="s">
        <v>13</v>
      </c>
      <c r="E42" s="4" t="s">
        <v>14</v>
      </c>
      <c r="F42" s="5" t="n">
        <v>8</v>
      </c>
      <c r="G42" s="6" t="n">
        <v>1200</v>
      </c>
      <c r="H42" s="7" t="n">
        <v>0.05</v>
      </c>
      <c r="I42" s="6" t="n">
        <f aca="false">F42*G42</f>
        <v>9600</v>
      </c>
      <c r="J42" s="6" t="n">
        <f aca="false">I42*H42</f>
        <v>480</v>
      </c>
      <c r="K42" s="7" t="n">
        <f aca="false">IF(H42=0,0,H42)</f>
        <v>0.05</v>
      </c>
    </row>
    <row r="43" customFormat="false" ht="15" hidden="false" customHeight="true" outlineLevel="0" collapsed="false">
      <c r="A43" s="8" t="n">
        <v>45424</v>
      </c>
      <c r="B43" s="9" t="s">
        <v>15</v>
      </c>
      <c r="C43" s="10" t="s">
        <v>16</v>
      </c>
      <c r="D43" s="10" t="s">
        <v>19</v>
      </c>
      <c r="E43" s="9" t="s">
        <v>20</v>
      </c>
      <c r="F43" s="10" t="n">
        <v>45</v>
      </c>
      <c r="G43" s="11" t="n">
        <v>25</v>
      </c>
      <c r="H43" s="12" t="n">
        <v>0</v>
      </c>
      <c r="I43" s="11" t="n">
        <f aca="false">F43*G43</f>
        <v>1125</v>
      </c>
      <c r="J43" s="11" t="n">
        <f aca="false">I43*H43</f>
        <v>0</v>
      </c>
      <c r="K43" s="12" t="n">
        <f aca="false">IF(H43=0,0,H43)</f>
        <v>0</v>
      </c>
    </row>
    <row r="44" customFormat="false" ht="15" hidden="false" customHeight="true" outlineLevel="0" collapsed="false">
      <c r="A44" s="8" t="n">
        <v>45428</v>
      </c>
      <c r="B44" s="9" t="s">
        <v>21</v>
      </c>
      <c r="C44" s="10" t="s">
        <v>16</v>
      </c>
      <c r="D44" s="10" t="s">
        <v>17</v>
      </c>
      <c r="E44" s="9" t="s">
        <v>18</v>
      </c>
      <c r="F44" s="10" t="n">
        <v>18</v>
      </c>
      <c r="G44" s="11" t="n">
        <v>85</v>
      </c>
      <c r="H44" s="12" t="n">
        <v>0.07</v>
      </c>
      <c r="I44" s="11" t="n">
        <f aca="false">F44*G44</f>
        <v>1530</v>
      </c>
      <c r="J44" s="11" t="n">
        <f aca="false">I44*H44</f>
        <v>107.1</v>
      </c>
      <c r="K44" s="12" t="n">
        <f aca="false">IF(H44=0,0,H44)</f>
        <v>0.07</v>
      </c>
    </row>
    <row r="45" customFormat="false" ht="15" hidden="false" customHeight="true" outlineLevel="0" collapsed="false">
      <c r="A45" s="8" t="n">
        <v>45432</v>
      </c>
      <c r="B45" s="9" t="s">
        <v>26</v>
      </c>
      <c r="C45" s="10" t="s">
        <v>16</v>
      </c>
      <c r="D45" s="10" t="s">
        <v>23</v>
      </c>
      <c r="E45" s="9" t="s">
        <v>24</v>
      </c>
      <c r="F45" s="10" t="n">
        <v>30</v>
      </c>
      <c r="G45" s="11" t="n">
        <v>60</v>
      </c>
      <c r="H45" s="12" t="n">
        <v>0.05</v>
      </c>
      <c r="I45" s="11" t="n">
        <f aca="false">F45*G45</f>
        <v>1800</v>
      </c>
      <c r="J45" s="11" t="n">
        <f aca="false">I45*H45</f>
        <v>90</v>
      </c>
      <c r="K45" s="12" t="n">
        <f aca="false">IF(H45=0,0,H45)</f>
        <v>0.05</v>
      </c>
    </row>
    <row r="46" customFormat="false" ht="15" hidden="false" customHeight="true" outlineLevel="0" collapsed="false">
      <c r="A46" s="3" t="n">
        <v>45435</v>
      </c>
      <c r="B46" s="4" t="s">
        <v>11</v>
      </c>
      <c r="C46" s="5" t="s">
        <v>12</v>
      </c>
      <c r="D46" s="5" t="s">
        <v>19</v>
      </c>
      <c r="E46" s="4" t="s">
        <v>20</v>
      </c>
      <c r="F46" s="5" t="n">
        <v>6</v>
      </c>
      <c r="G46" s="6" t="n">
        <v>1200</v>
      </c>
      <c r="H46" s="7" t="n">
        <v>0.1</v>
      </c>
      <c r="I46" s="6" t="n">
        <f aca="false">F46*G46</f>
        <v>7200</v>
      </c>
      <c r="J46" s="6" t="n">
        <f aca="false">I46*H46</f>
        <v>720</v>
      </c>
      <c r="K46" s="7" t="n">
        <f aca="false">IF(H46=0,0,H46)</f>
        <v>0.1</v>
      </c>
    </row>
    <row r="47" customFormat="false" ht="15" hidden="false" customHeight="true" outlineLevel="0" collapsed="false">
      <c r="A47" s="3" t="n">
        <v>45439</v>
      </c>
      <c r="B47" s="4" t="s">
        <v>25</v>
      </c>
      <c r="C47" s="5" t="s">
        <v>12</v>
      </c>
      <c r="D47" s="5" t="s">
        <v>13</v>
      </c>
      <c r="E47" s="4" t="s">
        <v>14</v>
      </c>
      <c r="F47" s="5" t="n">
        <v>12</v>
      </c>
      <c r="G47" s="6" t="n">
        <v>750</v>
      </c>
      <c r="H47" s="7" t="n">
        <v>0</v>
      </c>
      <c r="I47" s="6" t="n">
        <f aca="false">F47*G47</f>
        <v>9000</v>
      </c>
      <c r="J47" s="6" t="n">
        <f aca="false">I47*H47</f>
        <v>0</v>
      </c>
      <c r="K47" s="7" t="n">
        <f aca="false">IF(H47=0,0,H47)</f>
        <v>0</v>
      </c>
    </row>
    <row r="48" customFormat="false" ht="15" hidden="false" customHeight="true" outlineLevel="0" collapsed="false">
      <c r="A48" s="3" t="n">
        <v>45442</v>
      </c>
      <c r="B48" s="4" t="s">
        <v>22</v>
      </c>
      <c r="C48" s="5" t="s">
        <v>12</v>
      </c>
      <c r="D48" s="5" t="s">
        <v>17</v>
      </c>
      <c r="E48" s="4" t="s">
        <v>18</v>
      </c>
      <c r="F48" s="5" t="n">
        <v>10</v>
      </c>
      <c r="G48" s="6" t="n">
        <v>350</v>
      </c>
      <c r="H48" s="7" t="n">
        <v>0.05</v>
      </c>
      <c r="I48" s="6" t="n">
        <f aca="false">F48*G48</f>
        <v>3500</v>
      </c>
      <c r="J48" s="6" t="n">
        <f aca="false">I48*H48</f>
        <v>175</v>
      </c>
      <c r="K48" s="7" t="n">
        <f aca="false">IF(H48=0,0,H48)</f>
        <v>0.05</v>
      </c>
    </row>
    <row r="49" customFormat="false" ht="15" hidden="false" customHeight="true" outlineLevel="0" collapsed="false">
      <c r="A49" s="8" t="n">
        <v>45446</v>
      </c>
      <c r="B49" s="9" t="s">
        <v>15</v>
      </c>
      <c r="C49" s="10" t="s">
        <v>16</v>
      </c>
      <c r="D49" s="10" t="s">
        <v>23</v>
      </c>
      <c r="E49" s="9" t="s">
        <v>24</v>
      </c>
      <c r="F49" s="10" t="n">
        <v>50</v>
      </c>
      <c r="G49" s="11" t="n">
        <v>25</v>
      </c>
      <c r="H49" s="12" t="n">
        <v>0.08</v>
      </c>
      <c r="I49" s="11" t="n">
        <f aca="false">F49*G49</f>
        <v>1250</v>
      </c>
      <c r="J49" s="11" t="n">
        <f aca="false">I49*H49</f>
        <v>100</v>
      </c>
      <c r="K49" s="12" t="n">
        <f aca="false">IF(H49=0,0,H49)</f>
        <v>0.08</v>
      </c>
    </row>
    <row r="50" customFormat="false" ht="15" hidden="false" customHeight="true" outlineLevel="0" collapsed="false">
      <c r="A50" s="3" t="n">
        <v>45449</v>
      </c>
      <c r="B50" s="4" t="s">
        <v>11</v>
      </c>
      <c r="C50" s="5" t="s">
        <v>12</v>
      </c>
      <c r="D50" s="5" t="s">
        <v>13</v>
      </c>
      <c r="E50" s="4" t="s">
        <v>14</v>
      </c>
      <c r="F50" s="5" t="n">
        <v>9</v>
      </c>
      <c r="G50" s="6" t="n">
        <v>1200</v>
      </c>
      <c r="H50" s="7" t="n">
        <v>0.05</v>
      </c>
      <c r="I50" s="6" t="n">
        <f aca="false">F50*G50</f>
        <v>10800</v>
      </c>
      <c r="J50" s="6" t="n">
        <f aca="false">I50*H50</f>
        <v>540</v>
      </c>
      <c r="K50" s="7" t="n">
        <f aca="false">IF(H50=0,0,H50)</f>
        <v>0.05</v>
      </c>
    </row>
    <row r="51" customFormat="false" ht="15" hidden="false" customHeight="true" outlineLevel="0" collapsed="false">
      <c r="A51" s="8" t="n">
        <v>45453</v>
      </c>
      <c r="B51" s="9" t="s">
        <v>21</v>
      </c>
      <c r="C51" s="10" t="s">
        <v>16</v>
      </c>
      <c r="D51" s="10" t="s">
        <v>19</v>
      </c>
      <c r="E51" s="9" t="s">
        <v>20</v>
      </c>
      <c r="F51" s="10" t="n">
        <v>20</v>
      </c>
      <c r="G51" s="11" t="n">
        <v>85</v>
      </c>
      <c r="H51" s="12" t="n">
        <v>0.1</v>
      </c>
      <c r="I51" s="11" t="n">
        <f aca="false">F51*G51</f>
        <v>1700</v>
      </c>
      <c r="J51" s="11" t="n">
        <f aca="false">I51*H51</f>
        <v>170</v>
      </c>
      <c r="K51" s="12" t="n">
        <f aca="false">IF(H51=0,0,H51)</f>
        <v>0.1</v>
      </c>
    </row>
    <row r="52" customFormat="false" ht="15" hidden="false" customHeight="true" outlineLevel="0" collapsed="false">
      <c r="A52" s="8" t="n">
        <v>45457</v>
      </c>
      <c r="B52" s="9" t="s">
        <v>26</v>
      </c>
      <c r="C52" s="10" t="s">
        <v>16</v>
      </c>
      <c r="D52" s="10" t="s">
        <v>17</v>
      </c>
      <c r="E52" s="9" t="s">
        <v>18</v>
      </c>
      <c r="F52" s="10" t="n">
        <v>35</v>
      </c>
      <c r="G52" s="11" t="n">
        <v>60</v>
      </c>
      <c r="H52" s="12" t="n">
        <v>0</v>
      </c>
      <c r="I52" s="11" t="n">
        <f aca="false">F52*G52</f>
        <v>2100</v>
      </c>
      <c r="J52" s="11" t="n">
        <f aca="false">I52*H52</f>
        <v>0</v>
      </c>
      <c r="K52" s="12" t="n">
        <f aca="false">IF(H52=0,0,H52)</f>
        <v>0</v>
      </c>
    </row>
    <row r="53" customFormat="false" ht="15" hidden="false" customHeight="true" outlineLevel="0" collapsed="false">
      <c r="A53" s="3" t="n">
        <v>45460</v>
      </c>
      <c r="B53" s="4" t="s">
        <v>25</v>
      </c>
      <c r="C53" s="5" t="s">
        <v>12</v>
      </c>
      <c r="D53" s="5" t="s">
        <v>23</v>
      </c>
      <c r="E53" s="4" t="s">
        <v>24</v>
      </c>
      <c r="F53" s="5" t="n">
        <v>14</v>
      </c>
      <c r="G53" s="6" t="n">
        <v>750</v>
      </c>
      <c r="H53" s="7" t="n">
        <v>0.07</v>
      </c>
      <c r="I53" s="6" t="n">
        <f aca="false">F53*G53</f>
        <v>10500</v>
      </c>
      <c r="J53" s="6" t="n">
        <f aca="false">I53*H53</f>
        <v>735</v>
      </c>
      <c r="K53" s="7" t="n">
        <f aca="false">IF(H53=0,0,H53)</f>
        <v>0.07</v>
      </c>
    </row>
    <row r="54" customFormat="false" ht="15" hidden="false" customHeight="true" outlineLevel="0" collapsed="false">
      <c r="A54" s="3" t="n">
        <v>45463</v>
      </c>
      <c r="B54" s="4" t="s">
        <v>22</v>
      </c>
      <c r="C54" s="5" t="s">
        <v>12</v>
      </c>
      <c r="D54" s="5" t="s">
        <v>13</v>
      </c>
      <c r="E54" s="4" t="s">
        <v>14</v>
      </c>
      <c r="F54" s="5" t="n">
        <v>11</v>
      </c>
      <c r="G54" s="6" t="n">
        <v>350</v>
      </c>
      <c r="H54" s="7" t="n">
        <v>0.05</v>
      </c>
      <c r="I54" s="6" t="n">
        <f aca="false">F54*G54</f>
        <v>3850</v>
      </c>
      <c r="J54" s="6" t="n">
        <f aca="false">I54*H54</f>
        <v>192.5</v>
      </c>
      <c r="K54" s="7" t="n">
        <f aca="false">IF(H54=0,0,H54)</f>
        <v>0.05</v>
      </c>
    </row>
    <row r="55" customFormat="false" ht="15" hidden="false" customHeight="true" outlineLevel="0" collapsed="false">
      <c r="A55" s="3" t="n">
        <v>45467</v>
      </c>
      <c r="B55" s="4" t="s">
        <v>11</v>
      </c>
      <c r="C55" s="5" t="s">
        <v>12</v>
      </c>
      <c r="D55" s="5" t="s">
        <v>17</v>
      </c>
      <c r="E55" s="4" t="s">
        <v>18</v>
      </c>
      <c r="F55" s="5" t="n">
        <v>7</v>
      </c>
      <c r="G55" s="6" t="n">
        <v>1200</v>
      </c>
      <c r="H55" s="7" t="n">
        <v>0.08</v>
      </c>
      <c r="I55" s="6" t="n">
        <f aca="false">F55*G55</f>
        <v>8400</v>
      </c>
      <c r="J55" s="6" t="n">
        <f aca="false">I55*H55</f>
        <v>672</v>
      </c>
      <c r="K55" s="7" t="n">
        <f aca="false">IF(H55=0,0,H55)</f>
        <v>0.08</v>
      </c>
    </row>
    <row r="56" customFormat="false" ht="15" hidden="false" customHeight="true" outlineLevel="0" collapsed="false">
      <c r="A56" s="8" t="n">
        <v>45470</v>
      </c>
      <c r="B56" s="9" t="s">
        <v>15</v>
      </c>
      <c r="C56" s="10" t="s">
        <v>16</v>
      </c>
      <c r="D56" s="10" t="s">
        <v>19</v>
      </c>
      <c r="E56" s="9" t="s">
        <v>20</v>
      </c>
      <c r="F56" s="10" t="n">
        <v>55</v>
      </c>
      <c r="G56" s="11" t="n">
        <v>25</v>
      </c>
      <c r="H56" s="12" t="n">
        <v>0</v>
      </c>
      <c r="I56" s="11" t="n">
        <f aca="false">F56*G56</f>
        <v>1375</v>
      </c>
      <c r="J56" s="11" t="n">
        <f aca="false">I56*H56</f>
        <v>0</v>
      </c>
      <c r="K56" s="12" t="n">
        <f aca="false">IF(H56=0,0,H56)</f>
        <v>0</v>
      </c>
    </row>
    <row r="57" customFormat="false" ht="15" hidden="false" customHeight="true" outlineLevel="0" collapsed="false">
      <c r="A57" s="8" t="n">
        <v>45474</v>
      </c>
      <c r="B57" s="9" t="s">
        <v>21</v>
      </c>
      <c r="C57" s="10" t="s">
        <v>16</v>
      </c>
      <c r="D57" s="10" t="s">
        <v>23</v>
      </c>
      <c r="E57" s="9" t="s">
        <v>24</v>
      </c>
      <c r="F57" s="10" t="n">
        <v>22</v>
      </c>
      <c r="G57" s="11" t="n">
        <v>85</v>
      </c>
      <c r="H57" s="12" t="n">
        <v>0.05</v>
      </c>
      <c r="I57" s="11" t="n">
        <f aca="false">F57*G57</f>
        <v>1870</v>
      </c>
      <c r="J57" s="11" t="n">
        <f aca="false">I57*H57</f>
        <v>93.5</v>
      </c>
      <c r="K57" s="12" t="n">
        <f aca="false">IF(H57=0,0,H57)</f>
        <v>0.05</v>
      </c>
    </row>
    <row r="58" customFormat="false" ht="15" hidden="false" customHeight="true" outlineLevel="0" collapsed="false">
      <c r="A58" s="3" t="n">
        <v>45478</v>
      </c>
      <c r="B58" s="4" t="s">
        <v>11</v>
      </c>
      <c r="C58" s="5" t="s">
        <v>12</v>
      </c>
      <c r="D58" s="5" t="s">
        <v>13</v>
      </c>
      <c r="E58" s="4" t="s">
        <v>14</v>
      </c>
      <c r="F58" s="5" t="n">
        <v>11</v>
      </c>
      <c r="G58" s="6" t="n">
        <v>1200</v>
      </c>
      <c r="H58" s="7" t="n">
        <v>0.1</v>
      </c>
      <c r="I58" s="6" t="n">
        <f aca="false">F58*G58</f>
        <v>13200</v>
      </c>
      <c r="J58" s="6" t="n">
        <f aca="false">I58*H58</f>
        <v>1320</v>
      </c>
      <c r="K58" s="7" t="n">
        <f aca="false">IF(H58=0,0,H58)</f>
        <v>0.1</v>
      </c>
    </row>
    <row r="59" customFormat="false" ht="15" hidden="false" customHeight="true" outlineLevel="0" collapsed="false">
      <c r="A59" s="8" t="n">
        <v>45481</v>
      </c>
      <c r="B59" s="9" t="s">
        <v>26</v>
      </c>
      <c r="C59" s="10" t="s">
        <v>16</v>
      </c>
      <c r="D59" s="10" t="s">
        <v>17</v>
      </c>
      <c r="E59" s="9" t="s">
        <v>18</v>
      </c>
      <c r="F59" s="10" t="n">
        <v>40</v>
      </c>
      <c r="G59" s="11" t="n">
        <v>60</v>
      </c>
      <c r="H59" s="12" t="n">
        <v>0.05</v>
      </c>
      <c r="I59" s="11" t="n">
        <f aca="false">F59*G59</f>
        <v>2400</v>
      </c>
      <c r="J59" s="11" t="n">
        <f aca="false">I59*H59</f>
        <v>120</v>
      </c>
      <c r="K59" s="12" t="n">
        <f aca="false">IF(H59=0,0,H59)</f>
        <v>0.05</v>
      </c>
    </row>
    <row r="60" customFormat="false" ht="15" hidden="false" customHeight="true" outlineLevel="0" collapsed="false">
      <c r="A60" s="3" t="n">
        <v>45485</v>
      </c>
      <c r="B60" s="4" t="s">
        <v>25</v>
      </c>
      <c r="C60" s="5" t="s">
        <v>12</v>
      </c>
      <c r="D60" s="5" t="s">
        <v>19</v>
      </c>
      <c r="E60" s="4" t="s">
        <v>20</v>
      </c>
      <c r="F60" s="5" t="n">
        <v>15</v>
      </c>
      <c r="G60" s="6" t="n">
        <v>750</v>
      </c>
      <c r="H60" s="7" t="n">
        <v>0</v>
      </c>
      <c r="I60" s="6" t="n">
        <f aca="false">F60*G60</f>
        <v>11250</v>
      </c>
      <c r="J60" s="6" t="n">
        <f aca="false">I60*H60</f>
        <v>0</v>
      </c>
      <c r="K60" s="7" t="n">
        <f aca="false">IF(H60=0,0,H60)</f>
        <v>0</v>
      </c>
    </row>
    <row r="61" customFormat="false" ht="15" hidden="false" customHeight="true" outlineLevel="0" collapsed="false">
      <c r="A61" s="3" t="n">
        <v>45488</v>
      </c>
      <c r="B61" s="4" t="s">
        <v>22</v>
      </c>
      <c r="C61" s="5" t="s">
        <v>12</v>
      </c>
      <c r="D61" s="5" t="s">
        <v>23</v>
      </c>
      <c r="E61" s="4" t="s">
        <v>24</v>
      </c>
      <c r="F61" s="5" t="n">
        <v>12</v>
      </c>
      <c r="G61" s="6" t="n">
        <v>350</v>
      </c>
      <c r="H61" s="7" t="n">
        <v>0.08</v>
      </c>
      <c r="I61" s="6" t="n">
        <f aca="false">F61*G61</f>
        <v>4200</v>
      </c>
      <c r="J61" s="6" t="n">
        <f aca="false">I61*H61</f>
        <v>336</v>
      </c>
      <c r="K61" s="7" t="n">
        <f aca="false">IF(H61=0,0,H61)</f>
        <v>0.08</v>
      </c>
    </row>
    <row r="62" customFormat="false" ht="15" hidden="false" customHeight="true" outlineLevel="0" collapsed="false">
      <c r="A62" s="8" t="n">
        <v>45492</v>
      </c>
      <c r="B62" s="9" t="s">
        <v>15</v>
      </c>
      <c r="C62" s="10" t="s">
        <v>16</v>
      </c>
      <c r="D62" s="10" t="s">
        <v>13</v>
      </c>
      <c r="E62" s="9" t="s">
        <v>14</v>
      </c>
      <c r="F62" s="10" t="n">
        <v>60</v>
      </c>
      <c r="G62" s="11" t="n">
        <v>25</v>
      </c>
      <c r="H62" s="12" t="n">
        <v>0.05</v>
      </c>
      <c r="I62" s="11" t="n">
        <f aca="false">F62*G62</f>
        <v>1500</v>
      </c>
      <c r="J62" s="11" t="n">
        <f aca="false">I62*H62</f>
        <v>75</v>
      </c>
      <c r="K62" s="12" t="n">
        <f aca="false">IF(H62=0,0,H62)</f>
        <v>0.05</v>
      </c>
    </row>
    <row r="63" customFormat="false" ht="15" hidden="false" customHeight="true" outlineLevel="0" collapsed="false">
      <c r="A63" s="3" t="n">
        <v>45495</v>
      </c>
      <c r="B63" s="4" t="s">
        <v>11</v>
      </c>
      <c r="C63" s="5" t="s">
        <v>12</v>
      </c>
      <c r="D63" s="5" t="s">
        <v>17</v>
      </c>
      <c r="E63" s="4" t="s">
        <v>18</v>
      </c>
      <c r="F63" s="5" t="n">
        <v>8</v>
      </c>
      <c r="G63" s="6" t="n">
        <v>1200</v>
      </c>
      <c r="H63" s="7" t="n">
        <v>0</v>
      </c>
      <c r="I63" s="6" t="n">
        <f aca="false">F63*G63</f>
        <v>9600</v>
      </c>
      <c r="J63" s="6" t="n">
        <f aca="false">I63*H63</f>
        <v>0</v>
      </c>
      <c r="K63" s="7" t="n">
        <f aca="false">IF(H63=0,0,H63)</f>
        <v>0</v>
      </c>
    </row>
    <row r="64" customFormat="false" ht="15" hidden="false" customHeight="true" outlineLevel="0" collapsed="false">
      <c r="A64" s="8" t="n">
        <v>45499</v>
      </c>
      <c r="B64" s="9" t="s">
        <v>21</v>
      </c>
      <c r="C64" s="10" t="s">
        <v>16</v>
      </c>
      <c r="D64" s="10" t="s">
        <v>19</v>
      </c>
      <c r="E64" s="9" t="s">
        <v>20</v>
      </c>
      <c r="F64" s="10" t="n">
        <v>24</v>
      </c>
      <c r="G64" s="11" t="n">
        <v>85</v>
      </c>
      <c r="H64" s="12" t="n">
        <v>0.07</v>
      </c>
      <c r="I64" s="11" t="n">
        <f aca="false">F64*G64</f>
        <v>2040</v>
      </c>
      <c r="J64" s="11" t="n">
        <f aca="false">I64*H64</f>
        <v>142.8</v>
      </c>
      <c r="K64" s="12" t="n">
        <f aca="false">IF(H64=0,0,H64)</f>
        <v>0.07</v>
      </c>
    </row>
    <row r="65" customFormat="false" ht="15" hidden="false" customHeight="true" outlineLevel="0" collapsed="false">
      <c r="A65" s="8" t="n">
        <v>45502</v>
      </c>
      <c r="B65" s="9" t="s">
        <v>26</v>
      </c>
      <c r="C65" s="10" t="s">
        <v>16</v>
      </c>
      <c r="D65" s="10" t="s">
        <v>23</v>
      </c>
      <c r="E65" s="9" t="s">
        <v>24</v>
      </c>
      <c r="F65" s="10" t="n">
        <v>42</v>
      </c>
      <c r="G65" s="11" t="n">
        <v>60</v>
      </c>
      <c r="H65" s="12" t="n">
        <v>0.1</v>
      </c>
      <c r="I65" s="11" t="n">
        <f aca="false">F65*G65</f>
        <v>2520</v>
      </c>
      <c r="J65" s="11" t="n">
        <f aca="false">I65*H65</f>
        <v>252</v>
      </c>
      <c r="K65" s="12" t="n">
        <f aca="false">IF(H65=0,0,H65)</f>
        <v>0.1</v>
      </c>
    </row>
    <row r="66" customFormat="false" ht="15" hidden="false" customHeight="true" outlineLevel="0" collapsed="false">
      <c r="A66" s="3" t="n">
        <v>45506</v>
      </c>
      <c r="B66" s="4" t="s">
        <v>25</v>
      </c>
      <c r="C66" s="5" t="s">
        <v>12</v>
      </c>
      <c r="D66" s="5" t="s">
        <v>13</v>
      </c>
      <c r="E66" s="4" t="s">
        <v>14</v>
      </c>
      <c r="F66" s="5" t="n">
        <v>16</v>
      </c>
      <c r="G66" s="6" t="n">
        <v>750</v>
      </c>
      <c r="H66" s="7" t="n">
        <v>0.05</v>
      </c>
      <c r="I66" s="6" t="n">
        <f aca="false">F66*G66</f>
        <v>12000</v>
      </c>
      <c r="J66" s="6" t="n">
        <f aca="false">I66*H66</f>
        <v>600</v>
      </c>
      <c r="K66" s="7" t="n">
        <f aca="false">IF(H66=0,0,H66)</f>
        <v>0.05</v>
      </c>
    </row>
    <row r="67" customFormat="false" ht="15" hidden="false" customHeight="true" outlineLevel="0" collapsed="false">
      <c r="A67" s="3" t="n">
        <v>45510</v>
      </c>
      <c r="B67" s="4" t="s">
        <v>22</v>
      </c>
      <c r="C67" s="5" t="s">
        <v>12</v>
      </c>
      <c r="D67" s="5" t="s">
        <v>17</v>
      </c>
      <c r="E67" s="4" t="s">
        <v>18</v>
      </c>
      <c r="F67" s="5" t="n">
        <v>13</v>
      </c>
      <c r="G67" s="6" t="n">
        <v>350</v>
      </c>
      <c r="H67" s="7" t="n">
        <v>0</v>
      </c>
      <c r="I67" s="6" t="n">
        <f aca="false">F67*G67</f>
        <v>4550</v>
      </c>
      <c r="J67" s="6" t="n">
        <f aca="false">I67*H67</f>
        <v>0</v>
      </c>
      <c r="K67" s="7" t="n">
        <f aca="false">IF(H67=0,0,H67)</f>
        <v>0</v>
      </c>
    </row>
    <row r="68" customFormat="false" ht="15" hidden="false" customHeight="true" outlineLevel="0" collapsed="false">
      <c r="A68" s="3" t="n">
        <v>45513</v>
      </c>
      <c r="B68" s="4" t="s">
        <v>11</v>
      </c>
      <c r="C68" s="5" t="s">
        <v>12</v>
      </c>
      <c r="D68" s="5" t="s">
        <v>19</v>
      </c>
      <c r="E68" s="4" t="s">
        <v>20</v>
      </c>
      <c r="F68" s="5" t="n">
        <v>10</v>
      </c>
      <c r="G68" s="6" t="n">
        <v>1200</v>
      </c>
      <c r="H68" s="7" t="n">
        <v>0.08</v>
      </c>
      <c r="I68" s="6" t="n">
        <f aca="false">F68*G68</f>
        <v>12000</v>
      </c>
      <c r="J68" s="6" t="n">
        <f aca="false">I68*H68</f>
        <v>960</v>
      </c>
      <c r="K68" s="7" t="n">
        <f aca="false">IF(H68=0,0,H68)</f>
        <v>0.08</v>
      </c>
    </row>
    <row r="69" customFormat="false" ht="15" hidden="false" customHeight="true" outlineLevel="0" collapsed="false">
      <c r="A69" s="8" t="n">
        <v>45517</v>
      </c>
      <c r="B69" s="9" t="s">
        <v>15</v>
      </c>
      <c r="C69" s="10" t="s">
        <v>16</v>
      </c>
      <c r="D69" s="10" t="s">
        <v>23</v>
      </c>
      <c r="E69" s="9" t="s">
        <v>24</v>
      </c>
      <c r="F69" s="10" t="n">
        <v>65</v>
      </c>
      <c r="G69" s="11" t="n">
        <v>25</v>
      </c>
      <c r="H69" s="12" t="n">
        <v>0.05</v>
      </c>
      <c r="I69" s="11" t="n">
        <f aca="false">F69*G69</f>
        <v>1625</v>
      </c>
      <c r="J69" s="11" t="n">
        <f aca="false">I69*H69</f>
        <v>81.25</v>
      </c>
      <c r="K69" s="12" t="n">
        <f aca="false">IF(H69=0,0,H69)</f>
        <v>0.05</v>
      </c>
    </row>
    <row r="70" customFormat="false" ht="15" hidden="false" customHeight="true" outlineLevel="0" collapsed="false">
      <c r="A70" s="8" t="n">
        <v>45520</v>
      </c>
      <c r="B70" s="9" t="s">
        <v>21</v>
      </c>
      <c r="C70" s="10" t="s">
        <v>16</v>
      </c>
      <c r="D70" s="10" t="s">
        <v>13</v>
      </c>
      <c r="E70" s="9" t="s">
        <v>14</v>
      </c>
      <c r="F70" s="10" t="n">
        <v>26</v>
      </c>
      <c r="G70" s="11" t="n">
        <v>85</v>
      </c>
      <c r="H70" s="12" t="n">
        <v>0.1</v>
      </c>
      <c r="I70" s="11" t="n">
        <f aca="false">F70*G70</f>
        <v>2210</v>
      </c>
      <c r="J70" s="11" t="n">
        <f aca="false">I70*H70</f>
        <v>221</v>
      </c>
      <c r="K70" s="12" t="n">
        <f aca="false">IF(H70=0,0,H70)</f>
        <v>0.1</v>
      </c>
    </row>
    <row r="71" customFormat="false" ht="15" hidden="false" customHeight="true" outlineLevel="0" collapsed="false">
      <c r="A71" s="8" t="n">
        <v>45524</v>
      </c>
      <c r="B71" s="9" t="s">
        <v>26</v>
      </c>
      <c r="C71" s="10" t="s">
        <v>16</v>
      </c>
      <c r="D71" s="10" t="s">
        <v>17</v>
      </c>
      <c r="E71" s="9" t="s">
        <v>18</v>
      </c>
      <c r="F71" s="10" t="n">
        <v>45</v>
      </c>
      <c r="G71" s="11" t="n">
        <v>60</v>
      </c>
      <c r="H71" s="12" t="n">
        <v>0</v>
      </c>
      <c r="I71" s="11" t="n">
        <f aca="false">F71*G71</f>
        <v>2700</v>
      </c>
      <c r="J71" s="11" t="n">
        <f aca="false">I71*H71</f>
        <v>0</v>
      </c>
      <c r="K71" s="12" t="n">
        <f aca="false">IF(H71=0,0,H71)</f>
        <v>0</v>
      </c>
    </row>
    <row r="72" customFormat="false" ht="15" hidden="false" customHeight="true" outlineLevel="0" collapsed="false">
      <c r="A72" s="3" t="n">
        <v>45527</v>
      </c>
      <c r="B72" s="4" t="s">
        <v>11</v>
      </c>
      <c r="C72" s="5" t="s">
        <v>12</v>
      </c>
      <c r="D72" s="5" t="s">
        <v>23</v>
      </c>
      <c r="E72" s="4" t="s">
        <v>24</v>
      </c>
      <c r="F72" s="5" t="n">
        <v>9</v>
      </c>
      <c r="G72" s="6" t="n">
        <v>1200</v>
      </c>
      <c r="H72" s="7" t="n">
        <v>0.05</v>
      </c>
      <c r="I72" s="6" t="n">
        <f aca="false">F72*G72</f>
        <v>10800</v>
      </c>
      <c r="J72" s="6" t="n">
        <f aca="false">I72*H72</f>
        <v>540</v>
      </c>
      <c r="K72" s="7" t="n">
        <f aca="false">IF(H72=0,0,H72)</f>
        <v>0.05</v>
      </c>
    </row>
    <row r="73" customFormat="false" ht="15" hidden="false" customHeight="true" outlineLevel="0" collapsed="false">
      <c r="A73" s="3" t="n">
        <v>45531</v>
      </c>
      <c r="B73" s="4" t="s">
        <v>25</v>
      </c>
      <c r="C73" s="5" t="s">
        <v>12</v>
      </c>
      <c r="D73" s="5" t="s">
        <v>19</v>
      </c>
      <c r="E73" s="4" t="s">
        <v>20</v>
      </c>
      <c r="F73" s="5" t="n">
        <v>18</v>
      </c>
      <c r="G73" s="6" t="n">
        <v>750</v>
      </c>
      <c r="H73" s="7" t="n">
        <v>0.07</v>
      </c>
      <c r="I73" s="6" t="n">
        <f aca="false">F73*G73</f>
        <v>13500</v>
      </c>
      <c r="J73" s="6" t="n">
        <f aca="false">I73*H73</f>
        <v>945</v>
      </c>
      <c r="K73" s="7" t="n">
        <f aca="false">IF(H73=0,0,H73)</f>
        <v>0.07</v>
      </c>
    </row>
    <row r="74" customFormat="false" ht="15" hidden="false" customHeight="true" outlineLevel="0" collapsed="false">
      <c r="A74" s="3" t="n">
        <v>45534</v>
      </c>
      <c r="B74" s="4" t="s">
        <v>22</v>
      </c>
      <c r="C74" s="5" t="s">
        <v>12</v>
      </c>
      <c r="D74" s="5" t="s">
        <v>13</v>
      </c>
      <c r="E74" s="4" t="s">
        <v>14</v>
      </c>
      <c r="F74" s="5" t="n">
        <v>14</v>
      </c>
      <c r="G74" s="6" t="n">
        <v>350</v>
      </c>
      <c r="H74" s="7" t="n">
        <v>0.05</v>
      </c>
      <c r="I74" s="6" t="n">
        <f aca="false">F74*G74</f>
        <v>4900</v>
      </c>
      <c r="J74" s="6" t="n">
        <f aca="false">I74*H74</f>
        <v>245</v>
      </c>
      <c r="K74" s="7" t="n">
        <f aca="false">IF(H74=0,0,H74)</f>
        <v>0.05</v>
      </c>
    </row>
    <row r="75" customFormat="false" ht="15" hidden="false" customHeight="true" outlineLevel="0" collapsed="false">
      <c r="A75" s="8" t="n">
        <v>45538</v>
      </c>
      <c r="B75" s="9" t="s">
        <v>15</v>
      </c>
      <c r="C75" s="10" t="s">
        <v>16</v>
      </c>
      <c r="D75" s="10" t="s">
        <v>17</v>
      </c>
      <c r="E75" s="9" t="s">
        <v>18</v>
      </c>
      <c r="F75" s="10" t="n">
        <v>70</v>
      </c>
      <c r="G75" s="11" t="n">
        <v>25</v>
      </c>
      <c r="H75" s="12" t="n">
        <v>0.08</v>
      </c>
      <c r="I75" s="11" t="n">
        <f aca="false">F75*G75</f>
        <v>1750</v>
      </c>
      <c r="J75" s="11" t="n">
        <f aca="false">I75*H75</f>
        <v>140</v>
      </c>
      <c r="K75" s="12" t="n">
        <f aca="false">IF(H75=0,0,H75)</f>
        <v>0.08</v>
      </c>
    </row>
    <row r="76" customFormat="false" ht="15" hidden="false" customHeight="true" outlineLevel="0" collapsed="false">
      <c r="A76" s="3" t="n">
        <v>45541</v>
      </c>
      <c r="B76" s="4" t="s">
        <v>11</v>
      </c>
      <c r="C76" s="5" t="s">
        <v>12</v>
      </c>
      <c r="D76" s="5" t="s">
        <v>19</v>
      </c>
      <c r="E76" s="4" t="s">
        <v>20</v>
      </c>
      <c r="F76" s="5" t="n">
        <v>12</v>
      </c>
      <c r="G76" s="6" t="n">
        <v>1200</v>
      </c>
      <c r="H76" s="7" t="n">
        <v>0.05</v>
      </c>
      <c r="I76" s="6" t="n">
        <f aca="false">F76*G76</f>
        <v>14400</v>
      </c>
      <c r="J76" s="6" t="n">
        <f aca="false">I76*H76</f>
        <v>720</v>
      </c>
      <c r="K76" s="7" t="n">
        <f aca="false">IF(H76=0,0,H76)</f>
        <v>0.05</v>
      </c>
    </row>
    <row r="77" customFormat="false" ht="15" hidden="false" customHeight="true" outlineLevel="0" collapsed="false">
      <c r="A77" s="8" t="n">
        <v>45545</v>
      </c>
      <c r="B77" s="9" t="s">
        <v>21</v>
      </c>
      <c r="C77" s="10" t="s">
        <v>16</v>
      </c>
      <c r="D77" s="10" t="s">
        <v>23</v>
      </c>
      <c r="E77" s="9" t="s">
        <v>24</v>
      </c>
      <c r="F77" s="10" t="n">
        <v>28</v>
      </c>
      <c r="G77" s="11" t="n">
        <v>85</v>
      </c>
      <c r="H77" s="12" t="n">
        <v>0</v>
      </c>
      <c r="I77" s="11" t="n">
        <f aca="false">F77*G77</f>
        <v>2380</v>
      </c>
      <c r="J77" s="11" t="n">
        <f aca="false">I77*H77</f>
        <v>0</v>
      </c>
      <c r="K77" s="12" t="n">
        <f aca="false">IF(H77=0,0,H77)</f>
        <v>0</v>
      </c>
    </row>
    <row r="78" customFormat="false" ht="15" hidden="false" customHeight="true" outlineLevel="0" collapsed="false">
      <c r="A78" s="8" t="n">
        <v>45548</v>
      </c>
      <c r="B78" s="9" t="s">
        <v>26</v>
      </c>
      <c r="C78" s="10" t="s">
        <v>16</v>
      </c>
      <c r="D78" s="10" t="s">
        <v>13</v>
      </c>
      <c r="E78" s="9" t="s">
        <v>14</v>
      </c>
      <c r="F78" s="10" t="n">
        <v>50</v>
      </c>
      <c r="G78" s="11" t="n">
        <v>60</v>
      </c>
      <c r="H78" s="12" t="n">
        <v>0.1</v>
      </c>
      <c r="I78" s="11" t="n">
        <f aca="false">F78*G78</f>
        <v>3000</v>
      </c>
      <c r="J78" s="11" t="n">
        <f aca="false">I78*H78</f>
        <v>300</v>
      </c>
      <c r="K78" s="12" t="n">
        <f aca="false">IF(H78=0,0,H78)</f>
        <v>0.1</v>
      </c>
    </row>
    <row r="79" customFormat="false" ht="15" hidden="false" customHeight="true" outlineLevel="0" collapsed="false">
      <c r="A79" s="3" t="n">
        <v>45552</v>
      </c>
      <c r="B79" s="4" t="s">
        <v>25</v>
      </c>
      <c r="C79" s="5" t="s">
        <v>12</v>
      </c>
      <c r="D79" s="5" t="s">
        <v>17</v>
      </c>
      <c r="E79" s="4" t="s">
        <v>18</v>
      </c>
      <c r="F79" s="5" t="n">
        <v>20</v>
      </c>
      <c r="G79" s="6" t="n">
        <v>750</v>
      </c>
      <c r="H79" s="7" t="n">
        <v>0.05</v>
      </c>
      <c r="I79" s="6" t="n">
        <f aca="false">F79*G79</f>
        <v>15000</v>
      </c>
      <c r="J79" s="6" t="n">
        <f aca="false">I79*H79</f>
        <v>750</v>
      </c>
      <c r="K79" s="7" t="n">
        <f aca="false">IF(H79=0,0,H79)</f>
        <v>0.05</v>
      </c>
    </row>
    <row r="80" customFormat="false" ht="15" hidden="false" customHeight="true" outlineLevel="0" collapsed="false">
      <c r="A80" s="3" t="n">
        <v>45555</v>
      </c>
      <c r="B80" s="4" t="s">
        <v>22</v>
      </c>
      <c r="C80" s="5" t="s">
        <v>12</v>
      </c>
      <c r="D80" s="5" t="s">
        <v>19</v>
      </c>
      <c r="E80" s="4" t="s">
        <v>20</v>
      </c>
      <c r="F80" s="5" t="n">
        <v>15</v>
      </c>
      <c r="G80" s="6" t="n">
        <v>350</v>
      </c>
      <c r="H80" s="7" t="n">
        <v>0.08</v>
      </c>
      <c r="I80" s="6" t="n">
        <f aca="false">F80*G80</f>
        <v>5250</v>
      </c>
      <c r="J80" s="6" t="n">
        <f aca="false">I80*H80</f>
        <v>420</v>
      </c>
      <c r="K80" s="7" t="n">
        <f aca="false">IF(H80=0,0,H80)</f>
        <v>0.08</v>
      </c>
    </row>
    <row r="81" customFormat="false" ht="15" hidden="false" customHeight="true" outlineLevel="0" collapsed="false">
      <c r="A81" s="3" t="n">
        <v>45559</v>
      </c>
      <c r="B81" s="4" t="s">
        <v>11</v>
      </c>
      <c r="C81" s="5" t="s">
        <v>12</v>
      </c>
      <c r="D81" s="5" t="s">
        <v>13</v>
      </c>
      <c r="E81" s="4" t="s">
        <v>14</v>
      </c>
      <c r="F81" s="5" t="n">
        <v>13</v>
      </c>
      <c r="G81" s="6" t="n">
        <v>1200</v>
      </c>
      <c r="H81" s="7" t="n">
        <v>0</v>
      </c>
      <c r="I81" s="6" t="n">
        <f aca="false">F81*G81</f>
        <v>15600</v>
      </c>
      <c r="J81" s="6" t="n">
        <f aca="false">I81*H81</f>
        <v>0</v>
      </c>
      <c r="K81" s="7" t="n">
        <f aca="false">IF(H81=0,0,H81)</f>
        <v>0</v>
      </c>
    </row>
    <row r="82" customFormat="false" ht="15" hidden="false" customHeight="true" outlineLevel="0" collapsed="false">
      <c r="A82" s="8" t="n">
        <v>45562</v>
      </c>
      <c r="B82" s="9" t="s">
        <v>15</v>
      </c>
      <c r="C82" s="10" t="s">
        <v>16</v>
      </c>
      <c r="D82" s="10" t="s">
        <v>23</v>
      </c>
      <c r="E82" s="9" t="s">
        <v>24</v>
      </c>
      <c r="F82" s="10" t="n">
        <v>75</v>
      </c>
      <c r="G82" s="11" t="n">
        <v>25</v>
      </c>
      <c r="H82" s="12" t="n">
        <v>0.05</v>
      </c>
      <c r="I82" s="11" t="n">
        <f aca="false">F82*G82</f>
        <v>1875</v>
      </c>
      <c r="J82" s="11" t="n">
        <f aca="false">I82*H82</f>
        <v>93.75</v>
      </c>
      <c r="K82" s="12" t="n">
        <f aca="false">IF(H82=0,0,H82)</f>
        <v>0.05</v>
      </c>
    </row>
    <row r="83" customFormat="false" ht="15" hidden="false" customHeight="true" outlineLevel="0" collapsed="false">
      <c r="A83" s="8" t="n">
        <v>45566</v>
      </c>
      <c r="B83" s="9" t="s">
        <v>21</v>
      </c>
      <c r="C83" s="10" t="s">
        <v>16</v>
      </c>
      <c r="D83" s="10" t="s">
        <v>17</v>
      </c>
      <c r="E83" s="9" t="s">
        <v>18</v>
      </c>
      <c r="F83" s="10" t="n">
        <v>30</v>
      </c>
      <c r="G83" s="11" t="n">
        <v>85</v>
      </c>
      <c r="H83" s="12" t="n">
        <v>0.07</v>
      </c>
      <c r="I83" s="11" t="n">
        <f aca="false">F83*G83</f>
        <v>2550</v>
      </c>
      <c r="J83" s="11" t="n">
        <f aca="false">I83*H83</f>
        <v>178.5</v>
      </c>
      <c r="K83" s="12" t="n">
        <f aca="false">IF(H83=0,0,H83)</f>
        <v>0.07</v>
      </c>
    </row>
    <row r="84" customFormat="false" ht="15" hidden="false" customHeight="true" outlineLevel="0" collapsed="false">
      <c r="A84" s="3" t="n">
        <v>45570</v>
      </c>
      <c r="B84" s="4" t="s">
        <v>11</v>
      </c>
      <c r="C84" s="5" t="s">
        <v>12</v>
      </c>
      <c r="D84" s="5" t="s">
        <v>19</v>
      </c>
      <c r="E84" s="4" t="s">
        <v>20</v>
      </c>
      <c r="F84" s="5" t="n">
        <v>14</v>
      </c>
      <c r="G84" s="6" t="n">
        <v>1200</v>
      </c>
      <c r="H84" s="7" t="n">
        <v>0.1</v>
      </c>
      <c r="I84" s="6" t="n">
        <f aca="false">F84*G84</f>
        <v>16800</v>
      </c>
      <c r="J84" s="6" t="n">
        <f aca="false">I84*H84</f>
        <v>1680</v>
      </c>
      <c r="K84" s="7" t="n">
        <f aca="false">IF(H84=0,0,H84)</f>
        <v>0.1</v>
      </c>
    </row>
    <row r="85" customFormat="false" ht="15" hidden="false" customHeight="true" outlineLevel="0" collapsed="false">
      <c r="A85" s="8" t="n">
        <v>45573</v>
      </c>
      <c r="B85" s="9" t="s">
        <v>26</v>
      </c>
      <c r="C85" s="10" t="s">
        <v>16</v>
      </c>
      <c r="D85" s="10" t="s">
        <v>23</v>
      </c>
      <c r="E85" s="9" t="s">
        <v>24</v>
      </c>
      <c r="F85" s="10" t="n">
        <v>55</v>
      </c>
      <c r="G85" s="11" t="n">
        <v>60</v>
      </c>
      <c r="H85" s="12" t="n">
        <v>0.05</v>
      </c>
      <c r="I85" s="11" t="n">
        <f aca="false">F85*G85</f>
        <v>3300</v>
      </c>
      <c r="J85" s="11" t="n">
        <f aca="false">I85*H85</f>
        <v>165</v>
      </c>
      <c r="K85" s="12" t="n">
        <f aca="false">IF(H85=0,0,H85)</f>
        <v>0.05</v>
      </c>
    </row>
    <row r="86" customFormat="false" ht="15" hidden="false" customHeight="true" outlineLevel="0" collapsed="false">
      <c r="A86" s="3" t="n">
        <v>45577</v>
      </c>
      <c r="B86" s="4" t="s">
        <v>25</v>
      </c>
      <c r="C86" s="5" t="s">
        <v>12</v>
      </c>
      <c r="D86" s="5" t="s">
        <v>13</v>
      </c>
      <c r="E86" s="4" t="s">
        <v>14</v>
      </c>
      <c r="F86" s="5" t="n">
        <v>22</v>
      </c>
      <c r="G86" s="6" t="n">
        <v>750</v>
      </c>
      <c r="H86" s="7" t="n">
        <v>0</v>
      </c>
      <c r="I86" s="6" t="n">
        <f aca="false">F86*G86</f>
        <v>16500</v>
      </c>
      <c r="J86" s="6" t="n">
        <f aca="false">I86*H86</f>
        <v>0</v>
      </c>
      <c r="K86" s="7" t="n">
        <f aca="false">IF(H86=0,0,H86)</f>
        <v>0</v>
      </c>
    </row>
    <row r="87" customFormat="false" ht="15" hidden="false" customHeight="true" outlineLevel="0" collapsed="false">
      <c r="A87" s="3" t="n">
        <v>45580</v>
      </c>
      <c r="B87" s="4" t="s">
        <v>22</v>
      </c>
      <c r="C87" s="5" t="s">
        <v>12</v>
      </c>
      <c r="D87" s="5" t="s">
        <v>17</v>
      </c>
      <c r="E87" s="4" t="s">
        <v>18</v>
      </c>
      <c r="F87" s="5" t="n">
        <v>16</v>
      </c>
      <c r="G87" s="6" t="n">
        <v>350</v>
      </c>
      <c r="H87" s="7" t="n">
        <v>0.08</v>
      </c>
      <c r="I87" s="6" t="n">
        <f aca="false">F87*G87</f>
        <v>5600</v>
      </c>
      <c r="J87" s="6" t="n">
        <f aca="false">I87*H87</f>
        <v>448</v>
      </c>
      <c r="K87" s="7" t="n">
        <f aca="false">IF(H87=0,0,H87)</f>
        <v>0.08</v>
      </c>
    </row>
    <row r="88" customFormat="false" ht="15" hidden="false" customHeight="true" outlineLevel="0" collapsed="false">
      <c r="A88" s="8" t="n">
        <v>45584</v>
      </c>
      <c r="B88" s="9" t="s">
        <v>15</v>
      </c>
      <c r="C88" s="10" t="s">
        <v>16</v>
      </c>
      <c r="D88" s="10" t="s">
        <v>19</v>
      </c>
      <c r="E88" s="9" t="s">
        <v>20</v>
      </c>
      <c r="F88" s="10" t="n">
        <v>80</v>
      </c>
      <c r="G88" s="11" t="n">
        <v>25</v>
      </c>
      <c r="H88" s="12" t="n">
        <v>0.05</v>
      </c>
      <c r="I88" s="11" t="n">
        <f aca="false">F88*G88</f>
        <v>2000</v>
      </c>
      <c r="J88" s="11" t="n">
        <f aca="false">I88*H88</f>
        <v>100</v>
      </c>
      <c r="K88" s="12" t="n">
        <f aca="false">IF(H88=0,0,H88)</f>
        <v>0.05</v>
      </c>
    </row>
    <row r="89" customFormat="false" ht="15" hidden="false" customHeight="true" outlineLevel="0" collapsed="false">
      <c r="A89" s="3" t="n">
        <v>45587</v>
      </c>
      <c r="B89" s="4" t="s">
        <v>11</v>
      </c>
      <c r="C89" s="5" t="s">
        <v>12</v>
      </c>
      <c r="D89" s="5" t="s">
        <v>23</v>
      </c>
      <c r="E89" s="4" t="s">
        <v>24</v>
      </c>
      <c r="F89" s="5" t="n">
        <v>11</v>
      </c>
      <c r="G89" s="6" t="n">
        <v>1200</v>
      </c>
      <c r="H89" s="7" t="n">
        <v>0</v>
      </c>
      <c r="I89" s="6" t="n">
        <f aca="false">F89*G89</f>
        <v>13200</v>
      </c>
      <c r="J89" s="6" t="n">
        <f aca="false">I89*H89</f>
        <v>0</v>
      </c>
      <c r="K89" s="7" t="n">
        <f aca="false">IF(H89=0,0,H89)</f>
        <v>0</v>
      </c>
    </row>
    <row r="90" customFormat="false" ht="15" hidden="false" customHeight="true" outlineLevel="0" collapsed="false">
      <c r="A90" s="8" t="n">
        <v>45591</v>
      </c>
      <c r="B90" s="9" t="s">
        <v>21</v>
      </c>
      <c r="C90" s="10" t="s">
        <v>16</v>
      </c>
      <c r="D90" s="10" t="s">
        <v>13</v>
      </c>
      <c r="E90" s="9" t="s">
        <v>14</v>
      </c>
      <c r="F90" s="10" t="n">
        <v>32</v>
      </c>
      <c r="G90" s="11" t="n">
        <v>85</v>
      </c>
      <c r="H90" s="12" t="n">
        <v>0.1</v>
      </c>
      <c r="I90" s="11" t="n">
        <f aca="false">F90*G90</f>
        <v>2720</v>
      </c>
      <c r="J90" s="11" t="n">
        <f aca="false">I90*H90</f>
        <v>272</v>
      </c>
      <c r="K90" s="12" t="n">
        <f aca="false">IF(H90=0,0,H90)</f>
        <v>0.1</v>
      </c>
    </row>
    <row r="91" customFormat="false" ht="15" hidden="false" customHeight="true" outlineLevel="0" collapsed="false">
      <c r="A91" s="8" t="n">
        <v>45594</v>
      </c>
      <c r="B91" s="9" t="s">
        <v>26</v>
      </c>
      <c r="C91" s="10" t="s">
        <v>16</v>
      </c>
      <c r="D91" s="10" t="s">
        <v>17</v>
      </c>
      <c r="E91" s="9" t="s">
        <v>18</v>
      </c>
      <c r="F91" s="10" t="n">
        <v>58</v>
      </c>
      <c r="G91" s="11" t="n">
        <v>60</v>
      </c>
      <c r="H91" s="12" t="n">
        <v>0.05</v>
      </c>
      <c r="I91" s="11" t="n">
        <f aca="false">F91*G91</f>
        <v>3480</v>
      </c>
      <c r="J91" s="11" t="n">
        <f aca="false">I91*H91</f>
        <v>174</v>
      </c>
      <c r="K91" s="12" t="n">
        <f aca="false">IF(H91=0,0,H91)</f>
        <v>0.05</v>
      </c>
    </row>
    <row r="92" customFormat="false" ht="15" hidden="false" customHeight="true" outlineLevel="0" collapsed="false">
      <c r="A92" s="3" t="n">
        <v>45598</v>
      </c>
      <c r="B92" s="4" t="s">
        <v>25</v>
      </c>
      <c r="C92" s="5" t="s">
        <v>12</v>
      </c>
      <c r="D92" s="5" t="s">
        <v>19</v>
      </c>
      <c r="E92" s="4" t="s">
        <v>20</v>
      </c>
      <c r="F92" s="5" t="n">
        <v>25</v>
      </c>
      <c r="G92" s="6" t="n">
        <v>750</v>
      </c>
      <c r="H92" s="7" t="n">
        <v>0.07</v>
      </c>
      <c r="I92" s="6" t="n">
        <f aca="false">F92*G92</f>
        <v>18750</v>
      </c>
      <c r="J92" s="6" t="n">
        <f aca="false">I92*H92</f>
        <v>1312.5</v>
      </c>
      <c r="K92" s="7" t="n">
        <f aca="false">IF(H92=0,0,H92)</f>
        <v>0.07</v>
      </c>
    </row>
    <row r="93" customFormat="false" ht="15" hidden="false" customHeight="true" outlineLevel="0" collapsed="false">
      <c r="A93" s="3" t="n">
        <v>45601</v>
      </c>
      <c r="B93" s="4" t="s">
        <v>22</v>
      </c>
      <c r="C93" s="5" t="s">
        <v>12</v>
      </c>
      <c r="D93" s="5" t="s">
        <v>23</v>
      </c>
      <c r="E93" s="4" t="s">
        <v>24</v>
      </c>
      <c r="F93" s="5" t="n">
        <v>18</v>
      </c>
      <c r="G93" s="6" t="n">
        <v>350</v>
      </c>
      <c r="H93" s="7" t="n">
        <v>0.05</v>
      </c>
      <c r="I93" s="6" t="n">
        <f aca="false">F93*G93</f>
        <v>6300</v>
      </c>
      <c r="J93" s="6" t="n">
        <f aca="false">I93*H93</f>
        <v>315</v>
      </c>
      <c r="K93" s="7" t="n">
        <f aca="false">IF(H93=0,0,H93)</f>
        <v>0.05</v>
      </c>
    </row>
    <row r="94" customFormat="false" ht="15" hidden="false" customHeight="true" outlineLevel="0" collapsed="false">
      <c r="A94" s="3" t="n">
        <v>45605</v>
      </c>
      <c r="B94" s="4" t="s">
        <v>11</v>
      </c>
      <c r="C94" s="5" t="s">
        <v>12</v>
      </c>
      <c r="D94" s="5" t="s">
        <v>13</v>
      </c>
      <c r="E94" s="4" t="s">
        <v>14</v>
      </c>
      <c r="F94" s="5" t="n">
        <v>16</v>
      </c>
      <c r="G94" s="6" t="n">
        <v>1200</v>
      </c>
      <c r="H94" s="7" t="n">
        <v>0.08</v>
      </c>
      <c r="I94" s="6" t="n">
        <f aca="false">F94*G94</f>
        <v>19200</v>
      </c>
      <c r="J94" s="6" t="n">
        <f aca="false">I94*H94</f>
        <v>1536</v>
      </c>
      <c r="K94" s="7" t="n">
        <f aca="false">IF(H94=0,0,H94)</f>
        <v>0.08</v>
      </c>
    </row>
    <row r="95" customFormat="false" ht="15" hidden="false" customHeight="true" outlineLevel="0" collapsed="false">
      <c r="A95" s="8" t="n">
        <v>45608</v>
      </c>
      <c r="B95" s="9" t="s">
        <v>15</v>
      </c>
      <c r="C95" s="10" t="s">
        <v>16</v>
      </c>
      <c r="D95" s="10" t="s">
        <v>17</v>
      </c>
      <c r="E95" s="9" t="s">
        <v>18</v>
      </c>
      <c r="F95" s="10" t="n">
        <v>90</v>
      </c>
      <c r="G95" s="11" t="n">
        <v>25</v>
      </c>
      <c r="H95" s="12" t="n">
        <v>0</v>
      </c>
      <c r="I95" s="11" t="n">
        <f aca="false">F95*G95</f>
        <v>2250</v>
      </c>
      <c r="J95" s="11" t="n">
        <f aca="false">I95*H95</f>
        <v>0</v>
      </c>
      <c r="K95" s="12" t="n">
        <f aca="false">IF(H95=0,0,H95)</f>
        <v>0</v>
      </c>
    </row>
    <row r="96" customFormat="false" ht="15" hidden="false" customHeight="true" outlineLevel="0" collapsed="false">
      <c r="A96" s="8" t="n">
        <v>45612</v>
      </c>
      <c r="B96" s="9" t="s">
        <v>21</v>
      </c>
      <c r="C96" s="10" t="s">
        <v>16</v>
      </c>
      <c r="D96" s="10" t="s">
        <v>19</v>
      </c>
      <c r="E96" s="9" t="s">
        <v>20</v>
      </c>
      <c r="F96" s="10" t="n">
        <v>35</v>
      </c>
      <c r="G96" s="11" t="n">
        <v>85</v>
      </c>
      <c r="H96" s="12" t="n">
        <v>0.05</v>
      </c>
      <c r="I96" s="11" t="n">
        <f aca="false">F96*G96</f>
        <v>2975</v>
      </c>
      <c r="J96" s="11" t="n">
        <f aca="false">I96*H96</f>
        <v>148.75</v>
      </c>
      <c r="K96" s="12" t="n">
        <f aca="false">IF(H96=0,0,H96)</f>
        <v>0.05</v>
      </c>
    </row>
    <row r="97" customFormat="false" ht="15" hidden="false" customHeight="true" outlineLevel="0" collapsed="false">
      <c r="A97" s="8" t="n">
        <v>45615</v>
      </c>
      <c r="B97" s="9" t="s">
        <v>26</v>
      </c>
      <c r="C97" s="10" t="s">
        <v>16</v>
      </c>
      <c r="D97" s="10" t="s">
        <v>23</v>
      </c>
      <c r="E97" s="9" t="s">
        <v>24</v>
      </c>
      <c r="F97" s="10" t="n">
        <v>62</v>
      </c>
      <c r="G97" s="11" t="n">
        <v>60</v>
      </c>
      <c r="H97" s="12" t="n">
        <v>0.1</v>
      </c>
      <c r="I97" s="11" t="n">
        <f aca="false">F97*G97</f>
        <v>3720</v>
      </c>
      <c r="J97" s="11" t="n">
        <f aca="false">I97*H97</f>
        <v>372</v>
      </c>
      <c r="K97" s="12" t="n">
        <f aca="false">IF(H97=0,0,H97)</f>
        <v>0.1</v>
      </c>
    </row>
    <row r="98" customFormat="false" ht="15" hidden="false" customHeight="true" outlineLevel="0" collapsed="false">
      <c r="A98" s="3" t="n">
        <v>45619</v>
      </c>
      <c r="B98" s="4" t="s">
        <v>11</v>
      </c>
      <c r="C98" s="5" t="s">
        <v>12</v>
      </c>
      <c r="D98" s="5" t="s">
        <v>17</v>
      </c>
      <c r="E98" s="4" t="s">
        <v>18</v>
      </c>
      <c r="F98" s="5" t="n">
        <v>15</v>
      </c>
      <c r="G98" s="6" t="n">
        <v>1200</v>
      </c>
      <c r="H98" s="7" t="n">
        <v>0.05</v>
      </c>
      <c r="I98" s="6" t="n">
        <f aca="false">F98*G98</f>
        <v>18000</v>
      </c>
      <c r="J98" s="6" t="n">
        <f aca="false">I98*H98</f>
        <v>900</v>
      </c>
      <c r="K98" s="7" t="n">
        <f aca="false">IF(H98=0,0,H98)</f>
        <v>0.05</v>
      </c>
    </row>
    <row r="99" customFormat="false" ht="15" hidden="false" customHeight="true" outlineLevel="0" collapsed="false">
      <c r="A99" s="3" t="n">
        <v>45622</v>
      </c>
      <c r="B99" s="4" t="s">
        <v>25</v>
      </c>
      <c r="C99" s="5" t="s">
        <v>12</v>
      </c>
      <c r="D99" s="5" t="s">
        <v>13</v>
      </c>
      <c r="E99" s="4" t="s">
        <v>14</v>
      </c>
      <c r="F99" s="5" t="n">
        <v>28</v>
      </c>
      <c r="G99" s="6" t="n">
        <v>750</v>
      </c>
      <c r="H99" s="7" t="n">
        <v>0</v>
      </c>
      <c r="I99" s="6" t="n">
        <f aca="false">F99*G99</f>
        <v>21000</v>
      </c>
      <c r="J99" s="6" t="n">
        <f aca="false">I99*H99</f>
        <v>0</v>
      </c>
      <c r="K99" s="7" t="n">
        <f aca="false">IF(H99=0,0,H99)</f>
        <v>0</v>
      </c>
    </row>
    <row r="100" customFormat="false" ht="15" hidden="false" customHeight="true" outlineLevel="0" collapsed="false">
      <c r="A100" s="3" t="n">
        <v>45625</v>
      </c>
      <c r="B100" s="4" t="s">
        <v>22</v>
      </c>
      <c r="C100" s="5" t="s">
        <v>12</v>
      </c>
      <c r="D100" s="5" t="s">
        <v>19</v>
      </c>
      <c r="E100" s="4" t="s">
        <v>20</v>
      </c>
      <c r="F100" s="5" t="n">
        <v>20</v>
      </c>
      <c r="G100" s="6" t="n">
        <v>350</v>
      </c>
      <c r="H100" s="7" t="n">
        <v>0.08</v>
      </c>
      <c r="I100" s="6" t="n">
        <f aca="false">F100*G100</f>
        <v>7000</v>
      </c>
      <c r="J100" s="6" t="n">
        <f aca="false">I100*H100</f>
        <v>560</v>
      </c>
      <c r="K100" s="7" t="n">
        <f aca="false">IF(H100=0,0,H100)</f>
        <v>0.08</v>
      </c>
    </row>
    <row r="101" customFormat="false" ht="15" hidden="false" customHeight="true" outlineLevel="0" collapsed="false">
      <c r="A101" s="8" t="n">
        <v>45629</v>
      </c>
      <c r="B101" s="9" t="s">
        <v>15</v>
      </c>
      <c r="C101" s="10" t="s">
        <v>16</v>
      </c>
      <c r="D101" s="10" t="s">
        <v>23</v>
      </c>
      <c r="E101" s="9" t="s">
        <v>24</v>
      </c>
      <c r="F101" s="10" t="n">
        <v>100</v>
      </c>
      <c r="G101" s="11" t="n">
        <v>25</v>
      </c>
      <c r="H101" s="12" t="n">
        <v>0.05</v>
      </c>
      <c r="I101" s="11" t="n">
        <f aca="false">F101*G101</f>
        <v>2500</v>
      </c>
      <c r="J101" s="11" t="n">
        <f aca="false">I101*H101</f>
        <v>125</v>
      </c>
      <c r="K101" s="12" t="n">
        <f aca="false">IF(H101=0,0,H101)</f>
        <v>0.05</v>
      </c>
    </row>
    <row r="102" customFormat="false" ht="15" hidden="false" customHeight="true" outlineLevel="0" collapsed="false">
      <c r="A102" s="3" t="n">
        <v>45632</v>
      </c>
      <c r="B102" s="4" t="s">
        <v>11</v>
      </c>
      <c r="C102" s="5" t="s">
        <v>12</v>
      </c>
      <c r="D102" s="5" t="s">
        <v>13</v>
      </c>
      <c r="E102" s="4" t="s">
        <v>14</v>
      </c>
      <c r="F102" s="5" t="n">
        <v>20</v>
      </c>
      <c r="G102" s="6" t="n">
        <v>1200</v>
      </c>
      <c r="H102" s="7" t="n">
        <v>0.1</v>
      </c>
      <c r="I102" s="6" t="n">
        <f aca="false">F102*G102</f>
        <v>24000</v>
      </c>
      <c r="J102" s="6" t="n">
        <f aca="false">I102*H102</f>
        <v>2400</v>
      </c>
      <c r="K102" s="7" t="n">
        <f aca="false">IF(H102=0,0,H102)</f>
        <v>0.1</v>
      </c>
    </row>
    <row r="103" customFormat="false" ht="15" hidden="false" customHeight="true" outlineLevel="0" collapsed="false">
      <c r="A103" s="8" t="n">
        <v>45636</v>
      </c>
      <c r="B103" s="9" t="s">
        <v>21</v>
      </c>
      <c r="C103" s="10" t="s">
        <v>16</v>
      </c>
      <c r="D103" s="10" t="s">
        <v>17</v>
      </c>
      <c r="E103" s="9" t="s">
        <v>18</v>
      </c>
      <c r="F103" s="10" t="n">
        <v>38</v>
      </c>
      <c r="G103" s="11" t="n">
        <v>85</v>
      </c>
      <c r="H103" s="12" t="n">
        <v>0</v>
      </c>
      <c r="I103" s="11" t="n">
        <f aca="false">F103*G103</f>
        <v>3230</v>
      </c>
      <c r="J103" s="11" t="n">
        <f aca="false">I103*H103</f>
        <v>0</v>
      </c>
      <c r="K103" s="12" t="n">
        <f aca="false">IF(H103=0,0,H103)</f>
        <v>0</v>
      </c>
    </row>
    <row r="104" customFormat="false" ht="15" hidden="false" customHeight="true" outlineLevel="0" collapsed="false">
      <c r="A104" s="8" t="n">
        <v>45640</v>
      </c>
      <c r="B104" s="9" t="s">
        <v>26</v>
      </c>
      <c r="C104" s="10" t="s">
        <v>16</v>
      </c>
      <c r="D104" s="10" t="s">
        <v>19</v>
      </c>
      <c r="E104" s="9" t="s">
        <v>20</v>
      </c>
      <c r="F104" s="10" t="n">
        <v>70</v>
      </c>
      <c r="G104" s="11" t="n">
        <v>60</v>
      </c>
      <c r="H104" s="12" t="n">
        <v>0.05</v>
      </c>
      <c r="I104" s="11" t="n">
        <f aca="false">F104*G104</f>
        <v>4200</v>
      </c>
      <c r="J104" s="11" t="n">
        <f aca="false">I104*H104</f>
        <v>210</v>
      </c>
      <c r="K104" s="12" t="n">
        <f aca="false">IF(H104=0,0,H104)</f>
        <v>0.05</v>
      </c>
    </row>
    <row r="105" customFormat="false" ht="15" hidden="false" customHeight="true" outlineLevel="0" collapsed="false">
      <c r="A105" s="3" t="n">
        <v>45643</v>
      </c>
      <c r="B105" s="4" t="s">
        <v>25</v>
      </c>
      <c r="C105" s="5" t="s">
        <v>12</v>
      </c>
      <c r="D105" s="5" t="s">
        <v>23</v>
      </c>
      <c r="E105" s="4" t="s">
        <v>24</v>
      </c>
      <c r="F105" s="5" t="n">
        <v>30</v>
      </c>
      <c r="G105" s="6" t="n">
        <v>750</v>
      </c>
      <c r="H105" s="7" t="n">
        <v>0.07</v>
      </c>
      <c r="I105" s="6" t="n">
        <f aca="false">F105*G105</f>
        <v>22500</v>
      </c>
      <c r="J105" s="6" t="n">
        <f aca="false">I105*H105</f>
        <v>1575</v>
      </c>
      <c r="K105" s="7" t="n">
        <f aca="false">IF(H105=0,0,H105)</f>
        <v>0.07</v>
      </c>
    </row>
    <row r="106" customFormat="false" ht="15" hidden="false" customHeight="true" outlineLevel="0" collapsed="false">
      <c r="A106" s="3" t="n">
        <v>45646</v>
      </c>
      <c r="B106" s="4" t="s">
        <v>22</v>
      </c>
      <c r="C106" s="5" t="s">
        <v>12</v>
      </c>
      <c r="D106" s="5" t="s">
        <v>13</v>
      </c>
      <c r="E106" s="4" t="s">
        <v>14</v>
      </c>
      <c r="F106" s="5" t="n">
        <v>22</v>
      </c>
      <c r="G106" s="6" t="n">
        <v>350</v>
      </c>
      <c r="H106" s="7" t="n">
        <v>0.05</v>
      </c>
      <c r="I106" s="6" t="n">
        <f aca="false">F106*G106</f>
        <v>7700</v>
      </c>
      <c r="J106" s="6" t="n">
        <f aca="false">I106*H106</f>
        <v>385</v>
      </c>
      <c r="K106" s="7" t="n">
        <f aca="false">IF(H106=0,0,H106)</f>
        <v>0.05</v>
      </c>
    </row>
    <row r="107" customFormat="false" ht="15" hidden="false" customHeight="true" outlineLevel="0" collapsed="false">
      <c r="A107" s="3" t="n">
        <v>45650</v>
      </c>
      <c r="B107" s="4" t="s">
        <v>11</v>
      </c>
      <c r="C107" s="5" t="s">
        <v>12</v>
      </c>
      <c r="D107" s="5" t="s">
        <v>17</v>
      </c>
      <c r="E107" s="4" t="s">
        <v>18</v>
      </c>
      <c r="F107" s="5" t="n">
        <v>18</v>
      </c>
      <c r="G107" s="6" t="n">
        <v>1200</v>
      </c>
      <c r="H107" s="7" t="n">
        <v>0.08</v>
      </c>
      <c r="I107" s="6" t="n">
        <f aca="false">F107*G107</f>
        <v>21600</v>
      </c>
      <c r="J107" s="6" t="n">
        <f aca="false">I107*H107</f>
        <v>1728</v>
      </c>
      <c r="K107" s="7" t="n">
        <f aca="false">IF(H107=0,0,H107)</f>
        <v>0.08</v>
      </c>
    </row>
    <row r="108" customFormat="false" ht="15" hidden="false" customHeight="true" outlineLevel="0" collapsed="false">
      <c r="A108" s="8" t="n">
        <v>45653</v>
      </c>
      <c r="B108" s="9" t="s">
        <v>15</v>
      </c>
      <c r="C108" s="10" t="s">
        <v>16</v>
      </c>
      <c r="D108" s="10" t="s">
        <v>19</v>
      </c>
      <c r="E108" s="9" t="s">
        <v>20</v>
      </c>
      <c r="F108" s="10" t="n">
        <v>110</v>
      </c>
      <c r="G108" s="11" t="n">
        <v>25</v>
      </c>
      <c r="H108" s="12" t="n">
        <v>0</v>
      </c>
      <c r="I108" s="11" t="n">
        <f aca="false">F108*G108</f>
        <v>2750</v>
      </c>
      <c r="J108" s="11" t="n">
        <f aca="false">I108*H108</f>
        <v>0</v>
      </c>
      <c r="K108" s="12" t="n">
        <f aca="false">IF(H108=0,0,H108)</f>
        <v>0</v>
      </c>
    </row>
  </sheetData>
  <autoFilter ref="A1:K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2026-03-16T05:30:59Z</dcterms:created>
  <dc:creator>openpyxl</dc:creator>
  <dc:description/>
  <dc:language>en-US</dc:language>
  <cp:lastModifiedBy/>
  <dcterms:modified xsi:type="dcterms:W3CDTF">2026-03-16T05:59:49Z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